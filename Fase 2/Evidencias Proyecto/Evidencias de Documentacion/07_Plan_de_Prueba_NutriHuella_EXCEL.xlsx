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nza\Documents\00 DUOC\portafolioo de titulo\burdonw\01 para subir\"/>
    </mc:Choice>
  </mc:AlternateContent>
  <xr:revisionPtr revIDLastSave="0" documentId="13_ncr:1_{DE19DAAC-3961-4F73-B687-7586EFE0B3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rtada" sheetId="1" r:id="rId1"/>
    <sheet name="Identificación Casos" sheetId="2" r:id="rId2"/>
    <sheet name="Control" sheetId="3" r:id="rId3"/>
    <sheet name="Datos del plan" sheetId="4" state="hidden" r:id="rId4"/>
  </sheets>
  <definedNames>
    <definedName name="Z_8DF910D5_A4F9_4DA3_B73F_CE18439EE2B5_.wvu.FilterData" localSheetId="1" hidden="1">'Identificación Casos'!$A$1:$K$12</definedName>
  </definedNames>
  <calcPr calcId="191029"/>
  <customWorkbookViews>
    <customWorkbookView name="Filtro 1" guid="{8DF910D5-A4F9-4DA3-B73F-CE18439EE2B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WnqcZLutDMb5zaF+C5U/jogKOpgIWhkO5vauvxn5BY="/>
    </ext>
  </extLst>
</workbook>
</file>

<file path=xl/calcChain.xml><?xml version="1.0" encoding="utf-8"?>
<calcChain xmlns="http://schemas.openxmlformats.org/spreadsheetml/2006/main">
  <c r="G38" i="3" l="1"/>
  <c r="G37" i="3"/>
  <c r="G36" i="3"/>
  <c r="D13" i="3"/>
  <c r="D10" i="3"/>
  <c r="D9" i="3"/>
  <c r="D8" i="3"/>
  <c r="D7" i="3"/>
  <c r="D6" i="3"/>
  <c r="G40" i="3" l="1"/>
  <c r="D16" i="3"/>
</calcChain>
</file>

<file path=xl/sharedStrings.xml><?xml version="1.0" encoding="utf-8"?>
<sst xmlns="http://schemas.openxmlformats.org/spreadsheetml/2006/main" count="209" uniqueCount="130">
  <si>
    <t xml:space="preserve">Plan de prueba proyecto 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</si>
  <si>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</si>
  <si>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</si>
  <si>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</si>
  <si>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</si>
  <si>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</si>
  <si>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</si>
  <si>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</si>
  <si>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</si>
  <si>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</si>
  <si>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</si>
  <si>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</si>
  <si>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Funcional</t>
  </si>
  <si>
    <t>OK</t>
  </si>
  <si>
    <t>NO</t>
  </si>
  <si>
    <t>Media</t>
  </si>
  <si>
    <t>Alta</t>
  </si>
  <si>
    <t>No Funcional</t>
  </si>
  <si>
    <t>SI</t>
  </si>
  <si>
    <t>Baja</t>
  </si>
  <si>
    <t>Rendimiento</t>
  </si>
  <si>
    <t>NOK</t>
  </si>
  <si>
    <t>Carga</t>
  </si>
  <si>
    <t>Stress</t>
  </si>
  <si>
    <t>Casos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</si>
  <si>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</si>
  <si>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</si>
  <si>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</si>
  <si>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</si>
  <si>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</si>
  <si>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</si>
  <si>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Total Casos</t>
  </si>
  <si>
    <t>UAT</t>
  </si>
  <si>
    <t>Código</t>
  </si>
  <si>
    <t>End to End</t>
  </si>
  <si>
    <t>MO-66</t>
  </si>
  <si>
    <t>MO-67</t>
  </si>
  <si>
    <t>MO-68</t>
  </si>
  <si>
    <t>MO-69</t>
  </si>
  <si>
    <t>MO-70</t>
  </si>
  <si>
    <t>MO-71</t>
  </si>
  <si>
    <t>MO-72</t>
  </si>
  <si>
    <t>MO-73</t>
  </si>
  <si>
    <t>MO-74</t>
  </si>
  <si>
    <t>MO-75</t>
  </si>
  <si>
    <t>MO-76</t>
  </si>
  <si>
    <t>MO-77</t>
  </si>
  <si>
    <t>MO-78</t>
  </si>
  <si>
    <t>MO-79</t>
  </si>
  <si>
    <t>MO-80</t>
  </si>
  <si>
    <t>Registro de usuario</t>
  </si>
  <si>
    <t>Inicio de sesión</t>
  </si>
  <si>
    <t>Inicio de sesión con Google</t>
  </si>
  <si>
    <t>Registro flexible de mascota</t>
  </si>
  <si>
    <t>Resumen clínico de mascota</t>
  </si>
  <si>
    <t>Registro clínico de mascota</t>
  </si>
  <si>
    <t>Registro de vacuna</t>
  </si>
  <si>
    <t>Registro de ingrediente en despensa</t>
  </si>
  <si>
    <t>Eliminación de ingrediente</t>
  </si>
  <si>
    <t>Generación de plan de almuerzo</t>
  </si>
  <si>
    <t>Generación de plan de desayuno</t>
  </si>
  <si>
    <t>Generación de plan de cena</t>
  </si>
  <si>
    <t>Generación de menú diario</t>
  </si>
  <si>
    <t>Generación de plan semanal</t>
  </si>
  <si>
    <t>Visualización de métricas</t>
  </si>
  <si>
    <t>Automatizada</t>
  </si>
  <si>
    <t>Usuario se registra correctamente y se muestran validaciones de contraseña.</t>
  </si>
  <si>
    <t>El usuario inicia sesión y accede al Dashboard.</t>
  </si>
  <si>
    <t>Al hacer clic en 'Continuar con Google' se abre ventana de autenticación de Google.</t>
  </si>
  <si>
    <t>Se crea la mascota 'Luna' con todos los campos obligatorios completos.</t>
  </si>
  <si>
    <t>Al abrir la ficha de 'Luna' y la pestaña 'Resumen' se muestran todos los datos básicos.</t>
  </si>
  <si>
    <t>Se registra la ficha clínica completa y los datos persisten al cambiar de pestañas.</t>
  </si>
  <si>
    <t>Registrar una vacuna y que se muestre en la tabla y persista al navegar.</t>
  </si>
  <si>
    <t>Agregar un nuevo ingrediente y visualizarlo como tarjeta en la despensa.</t>
  </si>
  <si>
    <t>Al hacer clic en el ícono de basurero se elimina el ingrediente de la despensa.</t>
  </si>
  <si>
    <t>Generar una receta de almuerzo para 'Luna' usando la despensa y objetivo definido.</t>
  </si>
  <si>
    <t>Generar una receta de desayuno para 'Luna' usando la despensa.</t>
  </si>
  <si>
    <t>Generar una receta de cena para 'Luna' usando la despensa.</t>
  </si>
  <si>
    <t>Generar desayuno, almuerzo y cena para un día usando la ficha de Luna y la despensa.</t>
  </si>
  <si>
    <t>Generar un plan de 7 días con 3 comidas por día para 'Luna'.</t>
  </si>
  <si>
    <t>Mostrar métricas de negocio y gráfico de usuarios registrados por mes.</t>
  </si>
  <si>
    <t>El registro se completó y las reglas de contraseña se mostraron según lo esperado.</t>
  </si>
  <si>
    <t>Login exitoso, se muestra el Dashboard sin errores.</t>
  </si>
  <si>
    <t>Fallo: el test no encontró el botón 'Continuar con Google'; se reportó al equipo de desarrollo.</t>
  </si>
  <si>
    <t>La mascota se registró correctamente y quedó visible en 'Mis mascotas'.</t>
  </si>
  <si>
    <t>La prueba falló por no encontrar ruta o pestaña; se identificó como problema de automatización, no funcional.</t>
  </si>
  <si>
    <t>Datos clínicos guardados correctamente y persistentes al volver a la pestaña Clínica.</t>
  </si>
  <si>
    <t>La vacuna se registró y persistió correctamente; se detectó botón 'Guardar' de fila sin acción.</t>
  </si>
  <si>
    <t>El ingrediente 'Pechuga de pollo' se agregó y se muestra correctamente.</t>
  </si>
  <si>
    <t>El ingrediente seleccionado desapareció de la lista y no reapareció al recargar.</t>
  </si>
  <si>
    <t>Se generó una receta coherente utilizando ingredientes disponibles.</t>
  </si>
  <si>
    <t>Se generó una receta de desayuno válida y basada en ingredientes disponibles.</t>
  </si>
  <si>
    <t>Se generó una receta coherente para la cena, basada en el perfil clínico y la despensa.</t>
  </si>
  <si>
    <t>El menú diario se generó con 3 comidas usando ingredientes disponibles.</t>
  </si>
  <si>
    <t>Se generó un plan semanal completo y variado basado en la despensa.</t>
  </si>
  <si>
    <t>Dashboard cargó correctamente con tarjetas y gráfico; selector de año operativo.</t>
  </si>
  <si>
    <t>Registro (/register)</t>
  </si>
  <si>
    <t>Login (/login)</t>
  </si>
  <si>
    <t>Login social (Google)</t>
  </si>
  <si>
    <t>Mascotas (/pets)</t>
  </si>
  <si>
    <t>Ficha de mascota – Resumen</t>
  </si>
  <si>
    <t>Ficha de mascota – Clínica</t>
  </si>
  <si>
    <t>Vacunas de mascota</t>
  </si>
  <si>
    <t>Mi despensa – Agregar ingrediente</t>
  </si>
  <si>
    <t>Mi despensa – Eliminación</t>
  </si>
  <si>
    <t>Generador de recetas – Almuerzo</t>
  </si>
  <si>
    <t>Generador de recetas – Desayuno</t>
  </si>
  <si>
    <t>Generador de recetas – Cena</t>
  </si>
  <si>
    <t>Generador de recetas – Menú diario</t>
  </si>
  <si>
    <t>Generador de recetas – Plan semanal</t>
  </si>
  <si>
    <t>Analítica de negocio (/analytics)</t>
  </si>
  <si>
    <t>Gonzalo Troncoso</t>
  </si>
  <si>
    <t>Uso de email dinámico y localizadores tolerantes a labels.</t>
  </si>
  <si>
    <t>Localizadores tolerantes a acentos y espera explícita para el botón.</t>
  </si>
  <si>
    <t>El fallo se asocia a la UI/configuración, no a la lógica del test.</t>
  </si>
  <si>
    <t>Se validan campos flexibles como especie, sexo, raza y peso.</t>
  </si>
  <si>
    <t>Hay que ajustar selectores/ruta del test; la funcionalidad manualmente funciona.</t>
  </si>
  <si>
    <t>Incluye campos de alergias, medicamentos, fechas y notas.</t>
  </si>
  <si>
    <t>Botón 'Guardar' en la fila no realiza ninguna acción visible (posible mejora).</t>
  </si>
  <si>
    <t>Se valida carga de sinónimos, fechas y categoría.</t>
  </si>
  <si>
    <t>Se verificó persistencia tras navegar entre secciones.</t>
  </si>
  <si>
    <t>Objetivo usado: 'Reforzar vitaminas'.</t>
  </si>
  <si>
    <t>Objetivo usado: 'Reforzar energía matutina'.</t>
  </si>
  <si>
    <t>Objetivo usado: 'Mejorar digestión nocturna'.</t>
  </si>
  <si>
    <t>Se verificó coherencia y variedad dentro del día.</t>
  </si>
  <si>
    <t>Buen candidato para pruebas de regresión por complejidad.</t>
  </si>
  <si>
    <t>No existen acciones, sólo lectura de datos.</t>
  </si>
  <si>
    <t>Leandro Valenzuela</t>
  </si>
  <si>
    <t>Alex Orell</t>
  </si>
  <si>
    <t>Integrantes:
Gonzalo Troncoso, Jefe de proyecto
Leandro Valenzuela, Analista QA
Alex Orell, Tester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</si>
</sst>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24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Inconsolata"/>
    </font>
    <font>
      <sz val="20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3" borderId="18" xfId="0" quotePrefix="1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8" xfId="0" applyFont="1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0" xfId="0" applyFont="1"/>
    <xf numFmtId="0" fontId="4" fillId="4" borderId="21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1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1" xfId="0" applyFont="1" applyFill="1" applyBorder="1"/>
    <xf numFmtId="0" fontId="7" fillId="0" borderId="0" xfId="0" applyFont="1"/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2" borderId="7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27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8" xfId="0" applyFont="1" applyBorder="1"/>
    <xf numFmtId="0" fontId="3" fillId="0" borderId="33" xfId="0" applyFont="1" applyBorder="1"/>
    <xf numFmtId="0" fontId="3" fillId="0" borderId="29" xfId="0" applyFont="1" applyBorder="1"/>
    <xf numFmtId="0" fontId="1" fillId="2" borderId="25" xfId="0" applyFont="1" applyFill="1" applyBorder="1"/>
    <xf numFmtId="0" fontId="3" fillId="0" borderId="26" xfId="0" applyFont="1" applyBorder="1"/>
    <xf numFmtId="0" fontId="1" fillId="2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1" fillId="2" borderId="25" xfId="0" applyFont="1" applyFill="1" applyBorder="1" applyAlignment="1">
      <alignment vertical="center"/>
    </xf>
    <xf numFmtId="164" fontId="6" fillId="2" borderId="20" xfId="0" applyNumberFormat="1" applyFont="1" applyFill="1" applyBorder="1" applyAlignment="1">
      <alignment horizontal="center" vertical="center"/>
    </xf>
    <xf numFmtId="9" fontId="6" fillId="2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L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1D-4F30-A5B3-87B594A18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063944"/>
        <c:axId val="1274417331"/>
      </c:barChart>
      <c:catAx>
        <c:axId val="13450639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274417331"/>
        <c:crosses val="autoZero"/>
        <c:auto val="1"/>
        <c:lblAlgn val="ctr"/>
        <c:lblOffset val="100"/>
        <c:noMultiLvlLbl val="1"/>
      </c:catAx>
      <c:valAx>
        <c:axId val="12744173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4506394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L"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47E-4A84-9F85-EAEB945961C1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7E-4A84-9F85-EAEB945961C1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47E-4A84-9F85-EAEB945961C1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47E-4A84-9F85-EAEB945961C1}"/>
              </c:ext>
            </c:extLst>
          </c:dPt>
          <c:cat>
            <c:strRef>
              <c:f>Control!$E$36:$E$38</c:f>
              <c:strCache>
                <c:ptCount val="3"/>
                <c:pt idx="0">
                  <c:v>Leandro Valenzuela</c:v>
                </c:pt>
                <c:pt idx="1">
                  <c:v>Alex Orell</c:v>
                </c:pt>
                <c:pt idx="2">
                  <c:v>Gonzalo Troncoso</c:v>
                </c:pt>
              </c:strCache>
            </c:strRef>
          </c:cat>
          <c:val>
            <c:numRef>
              <c:f>Control!$F$36:$F$38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47E-4A84-9F85-EAEB945961C1}"/>
            </c:ext>
          </c:extLst>
        </c:ser>
        <c:ser>
          <c:idx val="1"/>
          <c:order val="1"/>
          <c:invertIfNegative val="1"/>
          <c:cat>
            <c:strRef>
              <c:f>Control!$E$36:$E$38</c:f>
              <c:strCache>
                <c:ptCount val="3"/>
                <c:pt idx="0">
                  <c:v>Leandro Valenzuela</c:v>
                </c:pt>
                <c:pt idx="1">
                  <c:v>Alex Orell</c:v>
                </c:pt>
                <c:pt idx="2">
                  <c:v>Gonzalo Troncoso</c:v>
                </c:pt>
              </c:strCache>
            </c:strRef>
          </c:cat>
          <c:val>
            <c:numRef>
              <c:f>Control!$G$36:$G$38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7E-4A84-9F85-EAEB94596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5539818"/>
        <c:axId val="1759682366"/>
      </c:barChart>
      <c:catAx>
        <c:axId val="1965539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759682366"/>
        <c:crosses val="autoZero"/>
        <c:auto val="1"/>
        <c:lblAlgn val="ctr"/>
        <c:lblOffset val="100"/>
        <c:noMultiLvlLbl val="1"/>
      </c:catAx>
      <c:valAx>
        <c:axId val="1759682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96553981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3</xdr:row>
      <xdr:rowOff>28575</xdr:rowOff>
    </xdr:from>
    <xdr:ext cx="4314825" cy="2714625"/>
    <xdr:graphicFrame macro="">
      <xdr:nvGraphicFramePr>
        <xdr:cNvPr id="533854965" name="Chart 1" title="Gráfico">
          <a:extLst>
            <a:ext uri="{FF2B5EF4-FFF2-40B4-BE49-F238E27FC236}">
              <a16:creationId xmlns:a16="http://schemas.microsoft.com/office/drawing/2014/main" id="{00000000-0008-0000-0200-0000F5FAD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 macro="">
      <xdr:nvGraphicFramePr>
        <xdr:cNvPr id="1130548494" name="Chart 2" title="Gráfico">
          <a:extLst>
            <a:ext uri="{FF2B5EF4-FFF2-40B4-BE49-F238E27FC236}">
              <a16:creationId xmlns:a16="http://schemas.microsoft.com/office/drawing/2014/main" id="{00000000-0008-0000-0200-00000ECD6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E35" sqref="E35:I39"/>
    </sheetView>
  </sheetViews>
  <sheetFormatPr baseColWidth="10" defaultColWidth="14.44140625" defaultRowHeight="15" customHeight="1" x14ac:dyDescent="0.3"/>
  <cols>
    <col min="1" max="3" width="3.33203125" customWidth="1"/>
    <col min="4" max="10" width="9.44140625" customWidth="1"/>
    <col min="11" max="12" width="3.33203125" customWidth="1"/>
    <col min="13" max="25" width="10.6640625" customWidth="1"/>
  </cols>
  <sheetData>
    <row r="1" spans="1:25" ht="14.25" customHeight="1" x14ac:dyDescent="0.3">
      <c r="A1" s="1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25" customHeight="1" x14ac:dyDescent="0.3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3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 customHeight="1" x14ac:dyDescent="0.3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 x14ac:dyDescent="0.3">
      <c r="A6" s="1"/>
      <c r="B6" s="5"/>
      <c r="C6" s="5"/>
      <c r="D6" s="1"/>
      <c r="E6" s="31" t="s">
        <v>0</v>
      </c>
      <c r="F6" s="32"/>
      <c r="G6" s="32"/>
      <c r="H6" s="32"/>
      <c r="I6" s="33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 x14ac:dyDescent="0.3">
      <c r="A7" s="1"/>
      <c r="B7" s="5"/>
      <c r="C7" s="5"/>
      <c r="D7" s="1"/>
      <c r="E7" s="34"/>
      <c r="F7" s="35"/>
      <c r="G7" s="35"/>
      <c r="H7" s="35"/>
      <c r="I7" s="36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3">
      <c r="A8" s="1"/>
      <c r="B8" s="5"/>
      <c r="C8" s="5"/>
      <c r="D8" s="1"/>
      <c r="E8" s="34"/>
      <c r="F8" s="35"/>
      <c r="G8" s="35"/>
      <c r="H8" s="35"/>
      <c r="I8" s="36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 x14ac:dyDescent="0.3">
      <c r="A9" s="1"/>
      <c r="B9" s="5"/>
      <c r="C9" s="5"/>
      <c r="D9" s="1"/>
      <c r="E9" s="34"/>
      <c r="F9" s="35"/>
      <c r="G9" s="35"/>
      <c r="H9" s="35"/>
      <c r="I9" s="36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 x14ac:dyDescent="0.3">
      <c r="A10" s="1"/>
      <c r="B10" s="5"/>
      <c r="C10" s="5"/>
      <c r="D10" s="1"/>
      <c r="E10" s="37"/>
      <c r="F10" s="38"/>
      <c r="G10" s="38"/>
      <c r="H10" s="38"/>
      <c r="I10" s="39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 x14ac:dyDescent="0.3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 x14ac:dyDescent="0.3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 x14ac:dyDescent="0.3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 x14ac:dyDescent="0.3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3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3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3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3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 x14ac:dyDescent="0.3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 x14ac:dyDescent="0.3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 x14ac:dyDescent="0.3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 x14ac:dyDescent="0.3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 x14ac:dyDescent="0.3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 x14ac:dyDescent="0.3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 x14ac:dyDescent="0.3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 customHeight="1" x14ac:dyDescent="0.3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 x14ac:dyDescent="0.3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 x14ac:dyDescent="0.3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 x14ac:dyDescent="0.3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 x14ac:dyDescent="0.3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 x14ac:dyDescent="0.3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 x14ac:dyDescent="0.3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3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3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5" customHeight="1" x14ac:dyDescent="0.3">
      <c r="A35" s="1"/>
      <c r="B35" s="5"/>
      <c r="C35" s="5"/>
      <c r="D35" s="1"/>
      <c r="E35" s="40" t="s">
        <v>129</v>
      </c>
      <c r="F35" s="32"/>
      <c r="G35" s="32"/>
      <c r="H35" s="32"/>
      <c r="I35" s="33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5" customHeight="1" x14ac:dyDescent="0.3">
      <c r="A36" s="1"/>
      <c r="B36" s="5"/>
      <c r="C36" s="5"/>
      <c r="D36" s="1"/>
      <c r="E36" s="34"/>
      <c r="F36" s="35"/>
      <c r="G36" s="35"/>
      <c r="H36" s="35"/>
      <c r="I36" s="36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5" customHeight="1" x14ac:dyDescent="0.3">
      <c r="A37" s="1"/>
      <c r="B37" s="5"/>
      <c r="C37" s="5"/>
      <c r="D37" s="1"/>
      <c r="E37" s="34"/>
      <c r="F37" s="35"/>
      <c r="G37" s="35"/>
      <c r="H37" s="35"/>
      <c r="I37" s="36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5" customHeight="1" x14ac:dyDescent="0.3">
      <c r="A38" s="1"/>
      <c r="B38" s="5"/>
      <c r="C38" s="5"/>
      <c r="D38" s="1"/>
      <c r="E38" s="34"/>
      <c r="F38" s="35"/>
      <c r="G38" s="35"/>
      <c r="H38" s="35"/>
      <c r="I38" s="36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5" customHeight="1" x14ac:dyDescent="0.3">
      <c r="A39" s="1"/>
      <c r="B39" s="5"/>
      <c r="C39" s="5"/>
      <c r="D39" s="1"/>
      <c r="E39" s="37"/>
      <c r="F39" s="38"/>
      <c r="G39" s="38"/>
      <c r="H39" s="38"/>
      <c r="I39" s="39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5" customHeight="1" x14ac:dyDescent="0.3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3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3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3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3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xSplit="1" topLeftCell="B1" activePane="topRight" state="frozen"/>
      <selection pane="topRight" activeCell="G2" sqref="G2"/>
    </sheetView>
  </sheetViews>
  <sheetFormatPr baseColWidth="10" defaultColWidth="14.44140625" defaultRowHeight="15" customHeight="1" x14ac:dyDescent="0.3"/>
  <cols>
    <col min="1" max="1" width="14.44140625" customWidth="1"/>
    <col min="2" max="2" width="25.44140625" customWidth="1"/>
    <col min="3" max="3" width="14.44140625" customWidth="1"/>
    <col min="4" max="5" width="18.33203125" customWidth="1"/>
    <col min="6" max="6" width="24.6640625" customWidth="1"/>
    <col min="7" max="7" width="14.44140625" customWidth="1"/>
    <col min="8" max="8" width="24.109375" customWidth="1"/>
    <col min="9" max="9" width="23.33203125" customWidth="1"/>
    <col min="10" max="10" width="22.44140625" customWidth="1"/>
    <col min="11" max="26" width="14.44140625" customWidth="1"/>
  </cols>
  <sheetData>
    <row r="1" spans="1:26" ht="14.25" customHeight="1" x14ac:dyDescent="0.3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2" t="s">
        <v>6</v>
      </c>
      <c r="G1" s="12" t="s">
        <v>7</v>
      </c>
      <c r="H1" s="13" t="s">
        <v>8</v>
      </c>
      <c r="I1" s="13" t="s">
        <v>9</v>
      </c>
      <c r="J1" s="14" t="s">
        <v>10</v>
      </c>
      <c r="K1" s="15" t="s">
        <v>11</v>
      </c>
      <c r="L1" s="16"/>
    </row>
    <row r="2" spans="1:26" ht="72" x14ac:dyDescent="0.3">
      <c r="A2" s="17" t="s">
        <v>35</v>
      </c>
      <c r="B2" s="18" t="s">
        <v>50</v>
      </c>
      <c r="C2" s="18" t="s">
        <v>65</v>
      </c>
      <c r="D2" s="18" t="s">
        <v>66</v>
      </c>
      <c r="E2" s="18" t="s">
        <v>81</v>
      </c>
      <c r="F2" s="18" t="s">
        <v>96</v>
      </c>
      <c r="G2" s="18" t="s">
        <v>13</v>
      </c>
      <c r="H2" s="18" t="s">
        <v>18</v>
      </c>
      <c r="I2" s="18" t="s">
        <v>112</v>
      </c>
      <c r="J2" s="19" t="s">
        <v>111</v>
      </c>
      <c r="K2" s="19" t="s">
        <v>15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57.6" x14ac:dyDescent="0.3">
      <c r="A3" s="17" t="s">
        <v>36</v>
      </c>
      <c r="B3" s="18" t="s">
        <v>51</v>
      </c>
      <c r="C3" s="18" t="s">
        <v>65</v>
      </c>
      <c r="D3" s="18" t="s">
        <v>67</v>
      </c>
      <c r="E3" s="18" t="s">
        <v>82</v>
      </c>
      <c r="F3" s="18" t="s">
        <v>97</v>
      </c>
      <c r="G3" s="18" t="s">
        <v>13</v>
      </c>
      <c r="H3" s="18" t="s">
        <v>18</v>
      </c>
      <c r="I3" s="18" t="s">
        <v>113</v>
      </c>
      <c r="J3" s="19" t="s">
        <v>111</v>
      </c>
      <c r="K3" s="19" t="s">
        <v>15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86.4" x14ac:dyDescent="0.3">
      <c r="A4" s="17" t="s">
        <v>37</v>
      </c>
      <c r="B4" s="18" t="s">
        <v>52</v>
      </c>
      <c r="C4" s="18" t="s">
        <v>65</v>
      </c>
      <c r="D4" s="18" t="s">
        <v>68</v>
      </c>
      <c r="E4" s="18" t="s">
        <v>83</v>
      </c>
      <c r="F4" s="18" t="s">
        <v>98</v>
      </c>
      <c r="G4" s="18" t="s">
        <v>13</v>
      </c>
      <c r="H4" s="18" t="s">
        <v>18</v>
      </c>
      <c r="I4" s="18" t="s">
        <v>114</v>
      </c>
      <c r="J4" s="19" t="s">
        <v>111</v>
      </c>
      <c r="K4" s="19" t="s">
        <v>15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72" x14ac:dyDescent="0.3">
      <c r="A5" s="17" t="s">
        <v>38</v>
      </c>
      <c r="B5" s="18" t="s">
        <v>53</v>
      </c>
      <c r="C5" s="18" t="s">
        <v>65</v>
      </c>
      <c r="D5" s="18" t="s">
        <v>69</v>
      </c>
      <c r="E5" s="18" t="s">
        <v>84</v>
      </c>
      <c r="F5" s="18" t="s">
        <v>99</v>
      </c>
      <c r="G5" s="18" t="s">
        <v>13</v>
      </c>
      <c r="H5" s="18" t="s">
        <v>18</v>
      </c>
      <c r="I5" s="18" t="s">
        <v>115</v>
      </c>
      <c r="J5" s="19" t="s">
        <v>111</v>
      </c>
      <c r="K5" s="19" t="s">
        <v>15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00.8" x14ac:dyDescent="0.3">
      <c r="A6" s="17" t="s">
        <v>39</v>
      </c>
      <c r="B6" s="18" t="s">
        <v>54</v>
      </c>
      <c r="C6" s="18" t="s">
        <v>65</v>
      </c>
      <c r="D6" s="18" t="s">
        <v>70</v>
      </c>
      <c r="E6" s="18" t="s">
        <v>85</v>
      </c>
      <c r="F6" s="18" t="s">
        <v>100</v>
      </c>
      <c r="G6" s="18" t="s">
        <v>13</v>
      </c>
      <c r="H6" s="18" t="s">
        <v>18</v>
      </c>
      <c r="I6" s="18" t="s">
        <v>116</v>
      </c>
      <c r="J6" s="19" t="s">
        <v>127</v>
      </c>
      <c r="K6" s="19" t="s">
        <v>16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2" x14ac:dyDescent="0.3">
      <c r="A7" s="17" t="s">
        <v>40</v>
      </c>
      <c r="B7" s="18" t="s">
        <v>55</v>
      </c>
      <c r="C7" s="18" t="s">
        <v>12</v>
      </c>
      <c r="D7" s="18" t="s">
        <v>71</v>
      </c>
      <c r="E7" s="18" t="s">
        <v>86</v>
      </c>
      <c r="F7" s="18" t="s">
        <v>101</v>
      </c>
      <c r="G7" s="18" t="s">
        <v>13</v>
      </c>
      <c r="H7" s="18" t="s">
        <v>18</v>
      </c>
      <c r="I7" s="18" t="s">
        <v>117</v>
      </c>
      <c r="J7" s="19" t="s">
        <v>127</v>
      </c>
      <c r="K7" s="19" t="s">
        <v>15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86.4" x14ac:dyDescent="0.3">
      <c r="A8" s="17" t="s">
        <v>41</v>
      </c>
      <c r="B8" s="18" t="s">
        <v>56</v>
      </c>
      <c r="C8" s="18" t="s">
        <v>12</v>
      </c>
      <c r="D8" s="18" t="s">
        <v>72</v>
      </c>
      <c r="E8" s="18" t="s">
        <v>87</v>
      </c>
      <c r="F8" s="18" t="s">
        <v>102</v>
      </c>
      <c r="G8" s="18" t="s">
        <v>21</v>
      </c>
      <c r="H8" s="18" t="s">
        <v>18</v>
      </c>
      <c r="I8" s="18" t="s">
        <v>118</v>
      </c>
      <c r="J8" s="19" t="s">
        <v>111</v>
      </c>
      <c r="K8" s="19" t="s">
        <v>15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72" x14ac:dyDescent="0.3">
      <c r="A9" s="17" t="s">
        <v>42</v>
      </c>
      <c r="B9" s="18" t="s">
        <v>57</v>
      </c>
      <c r="C9" s="18" t="s">
        <v>12</v>
      </c>
      <c r="D9" s="18" t="s">
        <v>73</v>
      </c>
      <c r="E9" s="18" t="s">
        <v>88</v>
      </c>
      <c r="F9" s="18" t="s">
        <v>103</v>
      </c>
      <c r="G9" s="18" t="s">
        <v>13</v>
      </c>
      <c r="H9" s="18" t="s">
        <v>18</v>
      </c>
      <c r="I9" s="18" t="s">
        <v>119</v>
      </c>
      <c r="J9" s="19" t="s">
        <v>128</v>
      </c>
      <c r="K9" s="19" t="s">
        <v>19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72" x14ac:dyDescent="0.3">
      <c r="A10" s="17" t="s">
        <v>43</v>
      </c>
      <c r="B10" s="18" t="s">
        <v>58</v>
      </c>
      <c r="C10" s="18" t="s">
        <v>12</v>
      </c>
      <c r="D10" s="18" t="s">
        <v>74</v>
      </c>
      <c r="E10" s="18" t="s">
        <v>89</v>
      </c>
      <c r="F10" s="18" t="s">
        <v>104</v>
      </c>
      <c r="G10" s="18" t="s">
        <v>21</v>
      </c>
      <c r="H10" s="18" t="s">
        <v>18</v>
      </c>
      <c r="I10" s="18" t="s">
        <v>120</v>
      </c>
      <c r="J10" s="19" t="s">
        <v>128</v>
      </c>
      <c r="K10" s="19" t="s">
        <v>19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72" x14ac:dyDescent="0.3">
      <c r="A11" s="17" t="s">
        <v>44</v>
      </c>
      <c r="B11" s="18" t="s">
        <v>59</v>
      </c>
      <c r="C11" s="18" t="s">
        <v>12</v>
      </c>
      <c r="D11" s="18" t="s">
        <v>75</v>
      </c>
      <c r="E11" s="18" t="s">
        <v>90</v>
      </c>
      <c r="F11" s="18" t="s">
        <v>105</v>
      </c>
      <c r="G11" s="18" t="s">
        <v>13</v>
      </c>
      <c r="H11" s="18" t="s">
        <v>18</v>
      </c>
      <c r="I11" s="18" t="s">
        <v>121</v>
      </c>
      <c r="J11" s="19" t="s">
        <v>128</v>
      </c>
      <c r="K11" s="19" t="s">
        <v>15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72" x14ac:dyDescent="0.3">
      <c r="A12" s="17" t="s">
        <v>45</v>
      </c>
      <c r="B12" s="18" t="s">
        <v>60</v>
      </c>
      <c r="C12" s="18" t="s">
        <v>12</v>
      </c>
      <c r="D12" s="18" t="s">
        <v>76</v>
      </c>
      <c r="E12" s="18" t="s">
        <v>91</v>
      </c>
      <c r="F12" s="18" t="s">
        <v>106</v>
      </c>
      <c r="G12" s="18" t="s">
        <v>13</v>
      </c>
      <c r="H12" s="18" t="s">
        <v>18</v>
      </c>
      <c r="I12" s="18" t="s">
        <v>122</v>
      </c>
      <c r="J12" s="19" t="s">
        <v>111</v>
      </c>
      <c r="K12" s="19" t="s">
        <v>15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78" customHeight="1" x14ac:dyDescent="0.3">
      <c r="A13" s="17" t="s">
        <v>46</v>
      </c>
      <c r="B13" s="18" t="s">
        <v>61</v>
      </c>
      <c r="C13" s="18" t="s">
        <v>12</v>
      </c>
      <c r="D13" s="18" t="s">
        <v>77</v>
      </c>
      <c r="E13" s="18" t="s">
        <v>92</v>
      </c>
      <c r="F13" s="18" t="s">
        <v>107</v>
      </c>
      <c r="G13" s="18" t="s">
        <v>13</v>
      </c>
      <c r="H13" s="18" t="s">
        <v>18</v>
      </c>
      <c r="I13" s="18" t="s">
        <v>123</v>
      </c>
      <c r="J13" s="19" t="s">
        <v>111</v>
      </c>
      <c r="K13" s="19" t="s">
        <v>15</v>
      </c>
    </row>
    <row r="14" spans="1:26" ht="82.8" customHeight="1" x14ac:dyDescent="0.3">
      <c r="A14" s="17" t="s">
        <v>47</v>
      </c>
      <c r="B14" s="18" t="s">
        <v>62</v>
      </c>
      <c r="C14" s="18" t="s">
        <v>12</v>
      </c>
      <c r="D14" s="18" t="s">
        <v>78</v>
      </c>
      <c r="E14" s="18" t="s">
        <v>93</v>
      </c>
      <c r="F14" s="18" t="s">
        <v>108</v>
      </c>
      <c r="G14" s="18" t="s">
        <v>13</v>
      </c>
      <c r="H14" s="18" t="s">
        <v>18</v>
      </c>
      <c r="I14" s="18" t="s">
        <v>124</v>
      </c>
      <c r="J14" s="19" t="s">
        <v>127</v>
      </c>
      <c r="K14" s="19" t="s">
        <v>16</v>
      </c>
    </row>
    <row r="15" spans="1:26" ht="49.8" customHeight="1" x14ac:dyDescent="0.3">
      <c r="A15" s="17" t="s">
        <v>48</v>
      </c>
      <c r="B15" s="18" t="s">
        <v>63</v>
      </c>
      <c r="C15" s="18" t="s">
        <v>12</v>
      </c>
      <c r="D15" s="18" t="s">
        <v>79</v>
      </c>
      <c r="E15" s="18" t="s">
        <v>94</v>
      </c>
      <c r="F15" s="18" t="s">
        <v>109</v>
      </c>
      <c r="G15" s="18" t="s">
        <v>13</v>
      </c>
      <c r="H15" s="18" t="s">
        <v>18</v>
      </c>
      <c r="I15" s="18" t="s">
        <v>125</v>
      </c>
      <c r="J15" s="19" t="s">
        <v>127</v>
      </c>
      <c r="K15" s="19" t="s">
        <v>16</v>
      </c>
    </row>
    <row r="16" spans="1:26" ht="77.400000000000006" customHeight="1" x14ac:dyDescent="0.3">
      <c r="A16" s="17" t="s">
        <v>49</v>
      </c>
      <c r="B16" s="18" t="s">
        <v>64</v>
      </c>
      <c r="C16" s="18" t="s">
        <v>12</v>
      </c>
      <c r="D16" s="18" t="s">
        <v>80</v>
      </c>
      <c r="E16" s="18" t="s">
        <v>95</v>
      </c>
      <c r="F16" s="18" t="s">
        <v>110</v>
      </c>
      <c r="G16" s="18" t="s">
        <v>13</v>
      </c>
      <c r="H16" s="18" t="s">
        <v>18</v>
      </c>
      <c r="I16" s="18" t="s">
        <v>126</v>
      </c>
      <c r="J16" s="19" t="s">
        <v>127</v>
      </c>
      <c r="K16" s="19" t="s">
        <v>19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ustomSheetViews>
    <customSheetView guid="{8DF910D5-A4F9-4DA3-B73F-CE18439EE2B5}" filter="1" showAutoFilter="1">
      <pageMargins left="0.7" right="0.7" top="0.75" bottom="0.75" header="0.3" footer="0.3"/>
      <autoFilter ref="A1:K12" xr:uid="{D5D84F10-CF54-4C91-883D-A7DFFBAB8432}">
        <filterColumn colId="9">
          <filters>
            <filter val="Diego Rojas"/>
          </filters>
        </filterColumn>
      </autoFilter>
      <extLst>
        <ext uri="GoogleSheetsCustomDataVersion1">
          <go:sheetsCustomData xmlns:go="http://customooxmlschemas.google.com/" filterViewId="273564650"/>
        </ext>
      </extLst>
    </customSheetView>
  </customSheetView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'Datos del plan'!$B$1:$B$5</xm:f>
          </x14:formula1>
          <xm:sqref>G2:G16</xm:sqref>
        </x14:dataValidation>
        <x14:dataValidation type="list" allowBlank="1" showErrorMessage="1" xr:uid="{00000000-0002-0000-0100-000001000000}">
          <x14:formula1>
            <xm:f>'Datos del plan'!$D$1:$D$2</xm:f>
          </x14:formula1>
          <xm:sqref>H2:H16</xm:sqref>
        </x14:dataValidation>
        <x14:dataValidation type="list" allowBlank="1" showErrorMessage="1" xr:uid="{00000000-0002-0000-0100-000002000000}">
          <x14:formula1>
            <xm:f>'Datos del plan'!$C$1:$C$3</xm:f>
          </x14:formula1>
          <xm:sqref>K2:K12</xm:sqref>
        </x14:dataValidation>
        <x14:dataValidation type="list" allowBlank="1" showErrorMessage="1" xr:uid="{00000000-0002-0000-0100-000003000000}">
          <x14:formula1>
            <xm:f>'Datos del plan'!$A$1:$A$8</xm:f>
          </x14:formula1>
          <xm:sqref>C2:C12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E37" sqref="E37:F37"/>
    </sheetView>
  </sheetViews>
  <sheetFormatPr baseColWidth="10" defaultColWidth="14.44140625" defaultRowHeight="15" customHeight="1" x14ac:dyDescent="0.3"/>
  <cols>
    <col min="1" max="2" width="11.5546875" customWidth="1"/>
    <col min="3" max="3" width="16.109375" customWidth="1"/>
    <col min="4" max="4" width="11.5546875" customWidth="1"/>
    <col min="5" max="5" width="4.88671875" customWidth="1"/>
    <col min="6" max="6" width="17" customWidth="1"/>
    <col min="7" max="11" width="10.6640625" customWidth="1"/>
    <col min="12" max="12" width="5.44140625" customWidth="1"/>
    <col min="13" max="26" width="10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spans="1:26" ht="14.25" customHeight="1" x14ac:dyDescent="0.3">
      <c r="A2" s="1"/>
      <c r="B2" s="21"/>
      <c r="C2" s="21"/>
      <c r="D2" s="2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spans="1:26" ht="14.25" customHeight="1" x14ac:dyDescent="0.3">
      <c r="A3" s="1"/>
      <c r="B3" s="21"/>
      <c r="C3" s="21"/>
      <c r="D3" s="2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spans="1:26" ht="14.25" customHeight="1" x14ac:dyDescent="0.3">
      <c r="A4" s="1"/>
      <c r="B4" s="21"/>
      <c r="C4" s="21"/>
      <c r="D4" s="2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spans="1:26" ht="14.25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2"/>
      <c r="Q5" s="1"/>
      <c r="R5" s="1"/>
      <c r="Z5" s="1"/>
    </row>
    <row r="6" spans="1:26" ht="14.25" customHeight="1" x14ac:dyDescent="0.45">
      <c r="A6" s="1"/>
      <c r="B6" s="52" t="s">
        <v>24</v>
      </c>
      <c r="C6" s="23" t="s">
        <v>13</v>
      </c>
      <c r="D6" s="24">
        <f>COUNTIF('Identificación Casos'!G2:G12,Control!C6)</f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2"/>
      <c r="Q6" s="1"/>
      <c r="R6" s="1"/>
      <c r="Z6" s="1"/>
    </row>
    <row r="7" spans="1:26" ht="14.25" customHeight="1" x14ac:dyDescent="0.3">
      <c r="A7" s="1"/>
      <c r="B7" s="53"/>
      <c r="C7" s="23" t="s">
        <v>21</v>
      </c>
      <c r="D7" s="24">
        <f>COUNTIF('Identificación Casos'!G2:G12,Control!C7)</f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spans="1:26" ht="14.25" customHeight="1" x14ac:dyDescent="0.3">
      <c r="A8" s="1"/>
      <c r="B8" s="53"/>
      <c r="C8" s="23" t="s">
        <v>25</v>
      </c>
      <c r="D8" s="24">
        <f>COUNTIF('Identificación Casos'!$G$2:G36,C8)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spans="1:26" ht="14.25" customHeight="1" x14ac:dyDescent="0.45">
      <c r="A9" s="1"/>
      <c r="B9" s="53"/>
      <c r="C9" s="23" t="s">
        <v>26</v>
      </c>
      <c r="D9" s="24">
        <f>COUNTIF('Identificación Casos'!$G$2:G37,C9)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22"/>
      <c r="P9" s="1"/>
      <c r="Q9" s="1"/>
      <c r="R9" s="1"/>
      <c r="Z9" s="1"/>
    </row>
    <row r="10" spans="1:26" ht="14.25" customHeight="1" x14ac:dyDescent="0.3">
      <c r="A10" s="1"/>
      <c r="B10" s="54"/>
      <c r="C10" s="23" t="s">
        <v>27</v>
      </c>
      <c r="D10" s="24">
        <f>COUNTIF('Identificación Casos'!$G$2:G38,C10)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spans="1:26" ht="14.25" customHeight="1" x14ac:dyDescent="0.3">
      <c r="A11" s="1"/>
      <c r="B11" s="25"/>
      <c r="C11" s="25"/>
      <c r="D11" s="2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spans="1:26" ht="14.25" customHeight="1" x14ac:dyDescent="0.3">
      <c r="A12" s="1"/>
      <c r="B12" s="25"/>
      <c r="C12" s="25"/>
      <c r="D12" s="2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spans="1:26" ht="14.25" customHeight="1" x14ac:dyDescent="0.3">
      <c r="A13" s="1"/>
      <c r="B13" s="55" t="s">
        <v>28</v>
      </c>
      <c r="C13" s="51"/>
      <c r="D13" s="24">
        <f>COUNTIF('Identificación Casos'!A2:A34,"*")</f>
        <v>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spans="1:26" ht="14.25" customHeight="1" x14ac:dyDescent="0.3">
      <c r="A14" s="1"/>
      <c r="B14" s="25"/>
      <c r="C14" s="25"/>
      <c r="D14" s="2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spans="1:26" ht="14.25" customHeight="1" x14ac:dyDescent="0.3">
      <c r="A15" s="1"/>
      <c r="B15" s="25"/>
      <c r="C15" s="25"/>
      <c r="D15" s="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spans="1:26" ht="14.25" customHeight="1" x14ac:dyDescent="0.3">
      <c r="A16" s="1"/>
      <c r="B16" s="56" t="s">
        <v>29</v>
      </c>
      <c r="C16" s="44"/>
      <c r="D16" s="57">
        <f>SUM(D6+D7+D9+D10)/D13</f>
        <v>0.73333333333333328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spans="1:26" ht="14.25" customHeight="1" x14ac:dyDescent="0.3">
      <c r="A17" s="1"/>
      <c r="B17" s="47"/>
      <c r="C17" s="49"/>
      <c r="D17" s="5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1"/>
      <c r="N20" s="33"/>
      <c r="O20" s="1"/>
      <c r="P20" s="1"/>
      <c r="Q20" s="1"/>
      <c r="R20" s="1"/>
      <c r="Z20" s="1"/>
    </row>
    <row r="21" spans="1:26" ht="14.25" customHeight="1" x14ac:dyDescent="0.45">
      <c r="A21" s="1"/>
      <c r="B21" s="22"/>
      <c r="C21" s="1"/>
      <c r="D21" s="1"/>
      <c r="E21" s="1"/>
      <c r="F21" s="1"/>
      <c r="G21" s="1"/>
      <c r="H21" s="1"/>
      <c r="I21" s="1"/>
      <c r="J21" s="1"/>
      <c r="K21" s="1"/>
      <c r="L21" s="1"/>
      <c r="M21" s="37"/>
      <c r="N21" s="39"/>
      <c r="O21" s="1"/>
      <c r="P21" s="1"/>
      <c r="Q21" s="1"/>
      <c r="R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spans="1:26" ht="14.25" customHeight="1" x14ac:dyDescent="0.3">
      <c r="A24" s="1"/>
      <c r="D24" s="1"/>
      <c r="E24" s="1"/>
      <c r="F24" s="1"/>
      <c r="G24" s="1"/>
      <c r="H24" s="1"/>
      <c r="I24" s="1"/>
      <c r="J24" s="1"/>
      <c r="R24" s="1"/>
    </row>
    <row r="25" spans="1:26" ht="14.25" customHeight="1" x14ac:dyDescent="0.3">
      <c r="A25" s="1"/>
      <c r="D25" s="1"/>
      <c r="E25" s="1"/>
      <c r="F25" s="1"/>
      <c r="G25" s="1"/>
      <c r="H25" s="1"/>
      <c r="I25" s="1"/>
      <c r="J25" s="1"/>
      <c r="R25" s="1"/>
    </row>
    <row r="26" spans="1:26" ht="14.25" customHeight="1" x14ac:dyDescent="0.3">
      <c r="A26" s="1"/>
      <c r="D26" s="1"/>
      <c r="E26" s="1"/>
      <c r="F26" s="1"/>
      <c r="G26" s="1"/>
      <c r="H26" s="1"/>
      <c r="I26" s="1"/>
      <c r="J26" s="1"/>
      <c r="R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42" t="s">
        <v>30</v>
      </c>
      <c r="C36" s="43"/>
      <c r="D36" s="44"/>
      <c r="E36" s="50" t="s">
        <v>127</v>
      </c>
      <c r="F36" s="51"/>
      <c r="G36" s="27">
        <f>COUNTIF('Identificación Casos'!J2:J1002,E36)</f>
        <v>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45"/>
      <c r="C37" s="35"/>
      <c r="D37" s="46"/>
      <c r="E37" s="50" t="s">
        <v>128</v>
      </c>
      <c r="F37" s="51"/>
      <c r="G37" s="28">
        <f>COUNTIF('Identificación Casos'!J3:J1003,E37)</f>
        <v>3</v>
      </c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47"/>
      <c r="C38" s="48"/>
      <c r="D38" s="49"/>
      <c r="E38" s="50" t="s">
        <v>111</v>
      </c>
      <c r="F38" s="51"/>
      <c r="G38" s="29">
        <f>COUNTIF('Identificación Casos'!J4:J1004,E38)</f>
        <v>5</v>
      </c>
      <c r="H38" s="16"/>
      <c r="I38" s="16"/>
      <c r="J38" s="16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H39" s="16"/>
      <c r="I39" s="16"/>
      <c r="J39" s="16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F40" s="30" t="s">
        <v>31</v>
      </c>
      <c r="G40" s="16">
        <f>SUM(G36:G38)</f>
        <v>13</v>
      </c>
      <c r="H40" s="16"/>
      <c r="I40" s="16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6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9">
    <mergeCell ref="B6:B10"/>
    <mergeCell ref="B13:C13"/>
    <mergeCell ref="B16:C17"/>
    <mergeCell ref="D16:D17"/>
    <mergeCell ref="M20:N21"/>
    <mergeCell ref="B36:D38"/>
    <mergeCell ref="E36:F36"/>
    <mergeCell ref="E37:F37"/>
    <mergeCell ref="E38:F38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12.33203125" customWidth="1"/>
    <col min="2" max="2" width="12.44140625" customWidth="1"/>
    <col min="3" max="3" width="6.33203125" customWidth="1"/>
    <col min="4" max="6" width="10.6640625" customWidth="1"/>
  </cols>
  <sheetData>
    <row r="1" spans="1:4" ht="14.25" customHeight="1" x14ac:dyDescent="0.3">
      <c r="A1" s="16" t="s">
        <v>12</v>
      </c>
      <c r="B1" s="16" t="s">
        <v>13</v>
      </c>
      <c r="C1" s="30" t="s">
        <v>19</v>
      </c>
      <c r="D1" s="30" t="s">
        <v>18</v>
      </c>
    </row>
    <row r="2" spans="1:4" ht="14.25" customHeight="1" x14ac:dyDescent="0.3">
      <c r="A2" s="16" t="s">
        <v>17</v>
      </c>
      <c r="B2" s="16" t="s">
        <v>21</v>
      </c>
      <c r="C2" s="30" t="s">
        <v>15</v>
      </c>
      <c r="D2" s="30" t="s">
        <v>14</v>
      </c>
    </row>
    <row r="3" spans="1:4" ht="14.25" customHeight="1" x14ac:dyDescent="0.3">
      <c r="A3" s="16" t="s">
        <v>32</v>
      </c>
      <c r="B3" s="16" t="s">
        <v>25</v>
      </c>
      <c r="C3" s="30" t="s">
        <v>16</v>
      </c>
    </row>
    <row r="4" spans="1:4" ht="14.25" customHeight="1" x14ac:dyDescent="0.3">
      <c r="A4" s="16" t="s">
        <v>33</v>
      </c>
      <c r="B4" s="16" t="s">
        <v>26</v>
      </c>
    </row>
    <row r="5" spans="1:4" ht="14.25" customHeight="1" x14ac:dyDescent="0.3">
      <c r="A5" s="16" t="s">
        <v>34</v>
      </c>
      <c r="B5" s="16" t="s">
        <v>27</v>
      </c>
    </row>
    <row r="6" spans="1:4" ht="14.25" customHeight="1" x14ac:dyDescent="0.3">
      <c r="A6" s="16" t="s">
        <v>23</v>
      </c>
    </row>
    <row r="7" spans="1:4" ht="14.25" customHeight="1" x14ac:dyDescent="0.3">
      <c r="A7" s="16" t="s">
        <v>20</v>
      </c>
    </row>
    <row r="8" spans="1:4" ht="14.25" customHeight="1" x14ac:dyDescent="0.3">
      <c r="A8" s="16" t="s">
        <v>22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Identificación Casos</vt:lpstr>
      <vt:lpstr>Control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GONZALO ESTEBAN TRONCOSO CORTES</cp:lastModifiedBy>
  <dcterms:created xsi:type="dcterms:W3CDTF">2022-11-12T13:19:55Z</dcterms:created>
  <dcterms:modified xsi:type="dcterms:W3CDTF">2025-11-21T02:57:18Z</dcterms:modified>
</cp:coreProperties>
</file>