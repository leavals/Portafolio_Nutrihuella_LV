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nza\Documents\00 DUOC\portafolioo de titulo\burdonw\01 para subir\"/>
    </mc:Choice>
  </mc:AlternateContent>
  <xr:revisionPtr revIDLastSave="0" documentId="13_ncr:1_{C94F9098-8DCA-4BA1-BF61-8A283904EE2A}" xr6:coauthVersionLast="47" xr6:coauthVersionMax="47" xr10:uidLastSave="{00000000-0000-0000-0000-000000000000}"/>
  <bookViews>
    <workbookView xWindow="19090" yWindow="-110" windowWidth="25820" windowHeight="13900" tabRatio="318" xr2:uid="{00000000-000D-0000-FFFF-FFFF00000000}"/>
  </bookViews>
  <sheets>
    <sheet name="14.11 avance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5" l="1"/>
  <c r="G83" i="15"/>
  <c r="I83" i="15" s="1"/>
  <c r="H82" i="15"/>
  <c r="I82" i="15" s="1"/>
  <c r="G82" i="15"/>
  <c r="H81" i="15"/>
  <c r="I81" i="15" s="1"/>
  <c r="G81" i="15"/>
  <c r="H80" i="15"/>
  <c r="I80" i="15" s="1"/>
  <c r="G80" i="15"/>
  <c r="H79" i="15"/>
  <c r="I79" i="15" s="1"/>
  <c r="G79" i="15"/>
  <c r="H78" i="15"/>
  <c r="I78" i="15" s="1"/>
  <c r="G78" i="15"/>
  <c r="H77" i="15"/>
  <c r="I77" i="15" s="1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F35" i="15"/>
  <c r="F36" i="15" s="1"/>
  <c r="H34" i="15"/>
  <c r="I34" i="15" s="1"/>
  <c r="G34" i="15"/>
  <c r="H33" i="15"/>
  <c r="I33" i="15" s="1"/>
  <c r="G33" i="15"/>
  <c r="H32" i="15"/>
  <c r="I32" i="15" s="1"/>
  <c r="G32" i="15"/>
  <c r="H31" i="15"/>
  <c r="I31" i="15" s="1"/>
  <c r="G31" i="15"/>
  <c r="H30" i="15"/>
  <c r="I30" i="15" s="1"/>
  <c r="G30" i="15"/>
  <c r="H29" i="15"/>
  <c r="I29" i="15" s="1"/>
  <c r="G29" i="15"/>
  <c r="H28" i="15"/>
  <c r="I28" i="15" s="1"/>
  <c r="G28" i="15"/>
  <c r="H27" i="15"/>
  <c r="I27" i="15" s="1"/>
  <c r="G27" i="15"/>
  <c r="H26" i="15"/>
  <c r="I26" i="15" s="1"/>
  <c r="G26" i="15"/>
  <c r="H25" i="15"/>
  <c r="I25" i="15" s="1"/>
  <c r="G25" i="15"/>
  <c r="H24" i="15"/>
  <c r="I24" i="15" s="1"/>
  <c r="G24" i="15"/>
  <c r="H23" i="15"/>
  <c r="I23" i="15" s="1"/>
  <c r="G23" i="15"/>
  <c r="H22" i="15"/>
  <c r="I22" i="15" s="1"/>
  <c r="G22" i="15"/>
  <c r="H21" i="15"/>
  <c r="I21" i="15" s="1"/>
  <c r="G21" i="15"/>
  <c r="H20" i="15"/>
  <c r="I20" i="15" s="1"/>
  <c r="G20" i="15"/>
  <c r="H19" i="15"/>
  <c r="I19" i="15" s="1"/>
  <c r="G19" i="15"/>
  <c r="H18" i="15"/>
  <c r="I18" i="15" s="1"/>
  <c r="G18" i="15"/>
  <c r="H17" i="15"/>
  <c r="I17" i="15" s="1"/>
  <c r="G17" i="15"/>
  <c r="H16" i="15"/>
  <c r="I16" i="15" s="1"/>
  <c r="G16" i="15"/>
  <c r="H15" i="15"/>
  <c r="I15" i="15" s="1"/>
  <c r="G15" i="15"/>
  <c r="H14" i="15"/>
  <c r="I14" i="15" s="1"/>
  <c r="G14" i="15"/>
  <c r="H13" i="15"/>
  <c r="I13" i="15" s="1"/>
  <c r="G13" i="15"/>
  <c r="H12" i="15"/>
  <c r="I12" i="15" s="1"/>
  <c r="G12" i="15"/>
  <c r="H11" i="15"/>
  <c r="I11" i="15" s="1"/>
  <c r="G11" i="15"/>
  <c r="H10" i="15"/>
  <c r="I10" i="15" s="1"/>
  <c r="G10" i="15"/>
  <c r="H9" i="15"/>
  <c r="I9" i="15" s="1"/>
  <c r="G9" i="15"/>
  <c r="H8" i="15"/>
  <c r="I8" i="15" s="1"/>
  <c r="G8" i="15"/>
  <c r="H7" i="15"/>
  <c r="I7" i="15" s="1"/>
  <c r="G7" i="15"/>
  <c r="H6" i="15"/>
  <c r="I6" i="15" s="1"/>
  <c r="G6" i="15"/>
  <c r="H5" i="15"/>
  <c r="I5" i="15" s="1"/>
  <c r="G5" i="15"/>
  <c r="H4" i="15"/>
  <c r="I4" i="15" s="1"/>
  <c r="G4" i="15"/>
  <c r="H3" i="15"/>
  <c r="I3" i="15" s="1"/>
  <c r="G3" i="15"/>
  <c r="H2" i="15"/>
  <c r="I2" i="15" s="1"/>
  <c r="G2" i="15"/>
  <c r="F37" i="15" l="1"/>
  <c r="H36" i="15"/>
  <c r="I36" i="15" s="1"/>
  <c r="H35" i="15"/>
  <c r="I35" i="15" s="1"/>
  <c r="F38" i="15" l="1"/>
  <c r="H37" i="15"/>
  <c r="I37" i="15" s="1"/>
  <c r="F39" i="15" l="1"/>
  <c r="H38" i="15"/>
  <c r="I38" i="15" s="1"/>
  <c r="H39" i="15" l="1"/>
  <c r="I39" i="15" s="1"/>
  <c r="F40" i="15"/>
  <c r="F41" i="15" l="1"/>
  <c r="H40" i="15"/>
  <c r="I40" i="15" s="1"/>
  <c r="F42" i="15" l="1"/>
  <c r="H41" i="15"/>
  <c r="I41" i="15" s="1"/>
  <c r="H42" i="15" l="1"/>
  <c r="I42" i="15" s="1"/>
  <c r="F43" i="15"/>
  <c r="F44" i="15" l="1"/>
  <c r="H43" i="15"/>
  <c r="I43" i="15" s="1"/>
  <c r="F45" i="15" l="1"/>
  <c r="H44" i="15"/>
  <c r="I44" i="15" s="1"/>
  <c r="H45" i="15" l="1"/>
  <c r="I45" i="15" s="1"/>
  <c r="F46" i="15"/>
  <c r="F47" i="15" l="1"/>
  <c r="H46" i="15"/>
  <c r="I46" i="15" s="1"/>
  <c r="F48" i="15" l="1"/>
  <c r="H47" i="15"/>
  <c r="I47" i="15" s="1"/>
  <c r="H48" i="15" l="1"/>
  <c r="I48" i="15" s="1"/>
  <c r="F49" i="15"/>
  <c r="F50" i="15" l="1"/>
  <c r="H49" i="15"/>
  <c r="I49" i="15" s="1"/>
  <c r="F51" i="15" l="1"/>
  <c r="H50" i="15"/>
  <c r="I50" i="15" s="1"/>
  <c r="F52" i="15" l="1"/>
  <c r="H51" i="15"/>
  <c r="I51" i="15" s="1"/>
  <c r="F53" i="15" l="1"/>
  <c r="H52" i="15"/>
  <c r="I52" i="15" s="1"/>
  <c r="F54" i="15" l="1"/>
  <c r="H53" i="15"/>
  <c r="I53" i="15" s="1"/>
  <c r="F55" i="15" l="1"/>
  <c r="H54" i="15"/>
  <c r="I54" i="15" s="1"/>
  <c r="F56" i="15" l="1"/>
  <c r="H55" i="15"/>
  <c r="I55" i="15" s="1"/>
  <c r="F57" i="15" l="1"/>
  <c r="H56" i="15"/>
  <c r="I56" i="15" s="1"/>
  <c r="F58" i="15" l="1"/>
  <c r="H57" i="15"/>
  <c r="I57" i="15" s="1"/>
  <c r="F59" i="15" l="1"/>
  <c r="H58" i="15"/>
  <c r="I58" i="15" s="1"/>
  <c r="F60" i="15" l="1"/>
  <c r="H59" i="15"/>
  <c r="I59" i="15" s="1"/>
  <c r="H60" i="15" l="1"/>
  <c r="I60" i="15" s="1"/>
  <c r="F61" i="15"/>
  <c r="F62" i="15" l="1"/>
  <c r="H61" i="15"/>
  <c r="I61" i="15" s="1"/>
  <c r="F63" i="15" l="1"/>
  <c r="H62" i="15"/>
  <c r="I62" i="15" s="1"/>
  <c r="H63" i="15" l="1"/>
  <c r="I63" i="15" s="1"/>
  <c r="F64" i="15"/>
  <c r="F65" i="15" l="1"/>
  <c r="H64" i="15"/>
  <c r="I64" i="15" s="1"/>
  <c r="F66" i="15" l="1"/>
  <c r="H65" i="15"/>
  <c r="I65" i="15" s="1"/>
  <c r="H66" i="15" l="1"/>
  <c r="I66" i="15" s="1"/>
  <c r="F67" i="15"/>
  <c r="F68" i="15" l="1"/>
  <c r="H67" i="15"/>
  <c r="I67" i="15" s="1"/>
  <c r="F69" i="15" l="1"/>
  <c r="H68" i="15"/>
  <c r="I68" i="15" s="1"/>
  <c r="H69" i="15" l="1"/>
  <c r="I69" i="15" s="1"/>
  <c r="F70" i="15"/>
  <c r="F71" i="15" l="1"/>
  <c r="H70" i="15"/>
  <c r="I70" i="15" s="1"/>
  <c r="F72" i="15" l="1"/>
  <c r="H71" i="15"/>
  <c r="I71" i="15" s="1"/>
  <c r="H72" i="15" l="1"/>
  <c r="I72" i="15" s="1"/>
  <c r="F73" i="15"/>
  <c r="F74" i="15" l="1"/>
  <c r="H73" i="15"/>
  <c r="I73" i="15" s="1"/>
  <c r="F75" i="15" l="1"/>
  <c r="H74" i="15"/>
  <c r="I74" i="15" s="1"/>
  <c r="H75" i="15" l="1"/>
  <c r="I75" i="15" s="1"/>
  <c r="F76" i="15"/>
  <c r="H76" i="15" s="1"/>
  <c r="I76" i="15" s="1"/>
</calcChain>
</file>

<file path=xl/sharedStrings.xml><?xml version="1.0" encoding="utf-8"?>
<sst xmlns="http://schemas.openxmlformats.org/spreadsheetml/2006/main" count="91" uniqueCount="15">
  <si>
    <t>Día</t>
  </si>
  <si>
    <t>Avance Planificado (actividades)</t>
  </si>
  <si>
    <t>Tareas completadas diaria</t>
  </si>
  <si>
    <t>Tareas completadas total (proyecto)</t>
  </si>
  <si>
    <t>Fecha</t>
  </si>
  <si>
    <t>2 sprint</t>
  </si>
  <si>
    <t>3 sprint</t>
  </si>
  <si>
    <t>4 sprint</t>
  </si>
  <si>
    <t>5 sprint</t>
  </si>
  <si>
    <t>6 sprint</t>
  </si>
  <si>
    <t>1 sprint</t>
  </si>
  <si>
    <t>Avance Planificado (actividades) en %</t>
  </si>
  <si>
    <t>Tareas completadas total (proyecto) %</t>
  </si>
  <si>
    <t>desviacion</t>
  </si>
  <si>
    <t>(corte de seguimiento)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</si>
</sst>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8E2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2" borderId="0" xfId="0" applyFill="1"/>
    <xf numFmtId="0" fontId="0" fillId="5" borderId="0" xfId="0" applyFill="1"/>
    <xf numFmtId="14" fontId="0" fillId="5" borderId="0" xfId="0" applyNumberFormat="1" applyFill="1"/>
    <xf numFmtId="0" fontId="0" fillId="3" borderId="0" xfId="0" applyFill="1"/>
    <xf numFmtId="164" fontId="1" fillId="0" borderId="1" xfId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0" fontId="1" fillId="0" borderId="2" xfId="0" applyFont="1" applyBorder="1" applyAlignment="1">
      <alignment horizontal="center" vertical="center" wrapText="1"/>
    </xf>
    <xf numFmtId="9" fontId="0" fillId="0" borderId="0" xfId="0" applyNumberFormat="1"/>
    <xf numFmtId="0" fontId="0" fillId="6" borderId="0" xfId="0" applyFill="1"/>
    <xf numFmtId="9" fontId="0" fillId="2" borderId="0" xfId="0" applyNumberFormat="1" applyFill="1"/>
    <xf numFmtId="9" fontId="0" fillId="0" borderId="0" xfId="1" applyFont="1"/>
    <xf numFmtId="9" fontId="0" fillId="2" borderId="0" xfId="1" applyFont="1" applyFill="1"/>
    <xf numFmtId="0" fontId="4" fillId="0" borderId="0" xfId="0" applyFont="1"/>
    <xf numFmtId="9" fontId="4" fillId="0" borderId="0" xfId="1" applyFont="1"/>
    <xf numFmtId="9" fontId="4" fillId="0" borderId="0" xfId="0" applyNumberFormat="1" applyFont="1"/>
    <xf numFmtId="9" fontId="0" fillId="7" borderId="0" xfId="1" applyFont="1" applyFill="1"/>
    <xf numFmtId="9" fontId="0" fillId="7" borderId="0" xfId="0" applyNumberFormat="1" applyFill="1"/>
    <xf numFmtId="14" fontId="4" fillId="2" borderId="0" xfId="0" applyNumberFormat="1" applyFont="1" applyFill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Curva de Avance Planificado vs Real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'14.11 avance'!$G$1</c:f>
              <c:strCache>
                <c:ptCount val="1"/>
                <c:pt idx="0">
                  <c:v>Avance Planificado (actividades) en %</c:v>
                </c:pt>
              </c:strCache>
            </c:strRef>
          </c:tx>
          <c:spPr>
            <a:ln w="15875">
              <a:prstDash val="solid"/>
            </a:ln>
          </c:spPr>
          <c:marker>
            <c:symbol val="none"/>
          </c:marker>
          <c:cat>
            <c:numRef>
              <c:f>'14.11 avance'!$B$2:$B$83</c:f>
              <c:numCache>
                <c:formatCode>m/d/yyyy</c:formatCode>
                <c:ptCount val="82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  <c:pt idx="30">
                  <c:v>45931</c:v>
                </c:pt>
                <c:pt idx="31">
                  <c:v>45932</c:v>
                </c:pt>
                <c:pt idx="32">
                  <c:v>45933</c:v>
                </c:pt>
                <c:pt idx="33">
                  <c:v>45934</c:v>
                </c:pt>
                <c:pt idx="34">
                  <c:v>45935</c:v>
                </c:pt>
                <c:pt idx="35">
                  <c:v>45936</c:v>
                </c:pt>
                <c:pt idx="36">
                  <c:v>45937</c:v>
                </c:pt>
                <c:pt idx="37">
                  <c:v>45938</c:v>
                </c:pt>
                <c:pt idx="38">
                  <c:v>45939</c:v>
                </c:pt>
                <c:pt idx="39">
                  <c:v>45940</c:v>
                </c:pt>
                <c:pt idx="40">
                  <c:v>45941</c:v>
                </c:pt>
                <c:pt idx="41">
                  <c:v>45942</c:v>
                </c:pt>
                <c:pt idx="42">
                  <c:v>45943</c:v>
                </c:pt>
                <c:pt idx="43">
                  <c:v>45944</c:v>
                </c:pt>
                <c:pt idx="44">
                  <c:v>45945</c:v>
                </c:pt>
                <c:pt idx="45">
                  <c:v>45946</c:v>
                </c:pt>
                <c:pt idx="46">
                  <c:v>45947</c:v>
                </c:pt>
                <c:pt idx="47">
                  <c:v>45948</c:v>
                </c:pt>
                <c:pt idx="48">
                  <c:v>45949</c:v>
                </c:pt>
                <c:pt idx="49">
                  <c:v>45950</c:v>
                </c:pt>
                <c:pt idx="50">
                  <c:v>45951</c:v>
                </c:pt>
                <c:pt idx="51">
                  <c:v>45952</c:v>
                </c:pt>
                <c:pt idx="52">
                  <c:v>45953</c:v>
                </c:pt>
                <c:pt idx="53">
                  <c:v>45954</c:v>
                </c:pt>
                <c:pt idx="54">
                  <c:v>45955</c:v>
                </c:pt>
                <c:pt idx="55">
                  <c:v>45956</c:v>
                </c:pt>
                <c:pt idx="56">
                  <c:v>45957</c:v>
                </c:pt>
                <c:pt idx="57">
                  <c:v>45958</c:v>
                </c:pt>
                <c:pt idx="58">
                  <c:v>45959</c:v>
                </c:pt>
                <c:pt idx="59">
                  <c:v>45960</c:v>
                </c:pt>
                <c:pt idx="60">
                  <c:v>45961</c:v>
                </c:pt>
                <c:pt idx="61">
                  <c:v>45962</c:v>
                </c:pt>
                <c:pt idx="62">
                  <c:v>45963</c:v>
                </c:pt>
                <c:pt idx="63">
                  <c:v>45964</c:v>
                </c:pt>
                <c:pt idx="64">
                  <c:v>45965</c:v>
                </c:pt>
                <c:pt idx="65">
                  <c:v>45966</c:v>
                </c:pt>
                <c:pt idx="66">
                  <c:v>45967</c:v>
                </c:pt>
                <c:pt idx="67">
                  <c:v>45968</c:v>
                </c:pt>
                <c:pt idx="68">
                  <c:v>45969</c:v>
                </c:pt>
                <c:pt idx="69">
                  <c:v>45970</c:v>
                </c:pt>
                <c:pt idx="70">
                  <c:v>45971</c:v>
                </c:pt>
                <c:pt idx="71">
                  <c:v>45972</c:v>
                </c:pt>
                <c:pt idx="72">
                  <c:v>45973</c:v>
                </c:pt>
                <c:pt idx="73">
                  <c:v>45974</c:v>
                </c:pt>
                <c:pt idx="74">
                  <c:v>45975</c:v>
                </c:pt>
                <c:pt idx="75">
                  <c:v>45976</c:v>
                </c:pt>
                <c:pt idx="76">
                  <c:v>45977</c:v>
                </c:pt>
                <c:pt idx="77">
                  <c:v>45978</c:v>
                </c:pt>
                <c:pt idx="78">
                  <c:v>45979</c:v>
                </c:pt>
                <c:pt idx="79">
                  <c:v>45980</c:v>
                </c:pt>
                <c:pt idx="80">
                  <c:v>45981</c:v>
                </c:pt>
                <c:pt idx="81">
                  <c:v>45982</c:v>
                </c:pt>
              </c:numCache>
            </c:numRef>
          </c:cat>
          <c:val>
            <c:numRef>
              <c:f>'14.11 avance'!$G$2:$G$83</c:f>
              <c:numCache>
                <c:formatCode>0%</c:formatCode>
                <c:ptCount val="82"/>
                <c:pt idx="0">
                  <c:v>1.2345679012345678E-2</c:v>
                </c:pt>
                <c:pt idx="1">
                  <c:v>2.4691358024691357E-2</c:v>
                </c:pt>
                <c:pt idx="2">
                  <c:v>3.7037037037037035E-2</c:v>
                </c:pt>
                <c:pt idx="3">
                  <c:v>4.9382716049382713E-2</c:v>
                </c:pt>
                <c:pt idx="4">
                  <c:v>6.1728395061728392E-2</c:v>
                </c:pt>
                <c:pt idx="5">
                  <c:v>7.407407407407407E-2</c:v>
                </c:pt>
                <c:pt idx="6">
                  <c:v>8.6419753086419748E-2</c:v>
                </c:pt>
                <c:pt idx="7">
                  <c:v>9.8765432098765427E-2</c:v>
                </c:pt>
                <c:pt idx="8">
                  <c:v>0.1111111111111111</c:v>
                </c:pt>
                <c:pt idx="9">
                  <c:v>0.12345679012345678</c:v>
                </c:pt>
                <c:pt idx="10">
                  <c:v>0.13580246913580246</c:v>
                </c:pt>
                <c:pt idx="11">
                  <c:v>0.14814814814814814</c:v>
                </c:pt>
                <c:pt idx="12">
                  <c:v>0.16049382716049382</c:v>
                </c:pt>
                <c:pt idx="13">
                  <c:v>0.16049382716049382</c:v>
                </c:pt>
                <c:pt idx="14">
                  <c:v>0.1728395061728395</c:v>
                </c:pt>
                <c:pt idx="15">
                  <c:v>0.18518518518518517</c:v>
                </c:pt>
                <c:pt idx="16">
                  <c:v>0.19753086419753085</c:v>
                </c:pt>
                <c:pt idx="17">
                  <c:v>0.20987654320987653</c:v>
                </c:pt>
                <c:pt idx="18">
                  <c:v>0.22222222222222221</c:v>
                </c:pt>
                <c:pt idx="19">
                  <c:v>0.22222222222222221</c:v>
                </c:pt>
                <c:pt idx="20">
                  <c:v>0.22222222222222221</c:v>
                </c:pt>
                <c:pt idx="21">
                  <c:v>0.23456790123456789</c:v>
                </c:pt>
                <c:pt idx="22">
                  <c:v>0.24691358024691357</c:v>
                </c:pt>
                <c:pt idx="23">
                  <c:v>0.25925925925925924</c:v>
                </c:pt>
                <c:pt idx="24">
                  <c:v>0.27160493827160492</c:v>
                </c:pt>
                <c:pt idx="25">
                  <c:v>0.2839506172839506</c:v>
                </c:pt>
                <c:pt idx="26">
                  <c:v>0.29629629629629628</c:v>
                </c:pt>
                <c:pt idx="27">
                  <c:v>0.30864197530864196</c:v>
                </c:pt>
                <c:pt idx="28">
                  <c:v>0.32098765432098764</c:v>
                </c:pt>
                <c:pt idx="29">
                  <c:v>0.33333333333333331</c:v>
                </c:pt>
                <c:pt idx="30">
                  <c:v>0.34567901234567899</c:v>
                </c:pt>
                <c:pt idx="31">
                  <c:v>0.35802469135802467</c:v>
                </c:pt>
                <c:pt idx="32">
                  <c:v>0.37037037037037035</c:v>
                </c:pt>
                <c:pt idx="33">
                  <c:v>0.39506172839506171</c:v>
                </c:pt>
                <c:pt idx="34">
                  <c:v>0.41975308641975306</c:v>
                </c:pt>
                <c:pt idx="35">
                  <c:v>0.44444444444444442</c:v>
                </c:pt>
                <c:pt idx="36">
                  <c:v>0.46913580246913578</c:v>
                </c:pt>
                <c:pt idx="37">
                  <c:v>0.49382716049382713</c:v>
                </c:pt>
                <c:pt idx="38">
                  <c:v>0.51851851851851849</c:v>
                </c:pt>
                <c:pt idx="39">
                  <c:v>0.51851851851851849</c:v>
                </c:pt>
                <c:pt idx="40">
                  <c:v>0.54320987654320985</c:v>
                </c:pt>
                <c:pt idx="41">
                  <c:v>0.58024691358024694</c:v>
                </c:pt>
                <c:pt idx="42">
                  <c:v>0.59259259259259256</c:v>
                </c:pt>
                <c:pt idx="43">
                  <c:v>0.60493827160493829</c:v>
                </c:pt>
                <c:pt idx="44">
                  <c:v>0.61728395061728392</c:v>
                </c:pt>
                <c:pt idx="45">
                  <c:v>0.61728395061728392</c:v>
                </c:pt>
                <c:pt idx="46">
                  <c:v>0.61728395061728392</c:v>
                </c:pt>
                <c:pt idx="47">
                  <c:v>0.62962962962962965</c:v>
                </c:pt>
                <c:pt idx="48">
                  <c:v>0.64197530864197527</c:v>
                </c:pt>
                <c:pt idx="49">
                  <c:v>0.65432098765432101</c:v>
                </c:pt>
                <c:pt idx="50">
                  <c:v>0.66666666666666663</c:v>
                </c:pt>
                <c:pt idx="51">
                  <c:v>0.67901234567901236</c:v>
                </c:pt>
                <c:pt idx="52">
                  <c:v>0.69135802469135799</c:v>
                </c:pt>
                <c:pt idx="53">
                  <c:v>0.70370370370370372</c:v>
                </c:pt>
                <c:pt idx="54">
                  <c:v>0.70370370370370372</c:v>
                </c:pt>
                <c:pt idx="55">
                  <c:v>0.71604938271604934</c:v>
                </c:pt>
                <c:pt idx="56">
                  <c:v>0.72839506172839508</c:v>
                </c:pt>
                <c:pt idx="57">
                  <c:v>0.7407407407407407</c:v>
                </c:pt>
                <c:pt idx="58">
                  <c:v>0.75308641975308643</c:v>
                </c:pt>
                <c:pt idx="59">
                  <c:v>0.76543209876543206</c:v>
                </c:pt>
                <c:pt idx="60">
                  <c:v>0.77777777777777779</c:v>
                </c:pt>
                <c:pt idx="61">
                  <c:v>0.79012345679012341</c:v>
                </c:pt>
                <c:pt idx="62">
                  <c:v>0.80246913580246915</c:v>
                </c:pt>
                <c:pt idx="63">
                  <c:v>0.80246913580246915</c:v>
                </c:pt>
                <c:pt idx="64">
                  <c:v>0.81481481481481477</c:v>
                </c:pt>
                <c:pt idx="65">
                  <c:v>0.8271604938271605</c:v>
                </c:pt>
                <c:pt idx="66">
                  <c:v>0.8271604938271605</c:v>
                </c:pt>
                <c:pt idx="67">
                  <c:v>0.8271604938271605</c:v>
                </c:pt>
                <c:pt idx="68">
                  <c:v>0.83950617283950613</c:v>
                </c:pt>
                <c:pt idx="69">
                  <c:v>0.85185185185185186</c:v>
                </c:pt>
                <c:pt idx="70">
                  <c:v>0.86419753086419748</c:v>
                </c:pt>
                <c:pt idx="71">
                  <c:v>0.87654320987654322</c:v>
                </c:pt>
                <c:pt idx="72">
                  <c:v>0.88888888888888884</c:v>
                </c:pt>
                <c:pt idx="73">
                  <c:v>0.88888888888888884</c:v>
                </c:pt>
                <c:pt idx="74">
                  <c:v>0.90123456790123457</c:v>
                </c:pt>
                <c:pt idx="75">
                  <c:v>0.92592592592592593</c:v>
                </c:pt>
                <c:pt idx="76">
                  <c:v>0.93827160493827155</c:v>
                </c:pt>
                <c:pt idx="77">
                  <c:v>0.95061728395061729</c:v>
                </c:pt>
                <c:pt idx="78">
                  <c:v>0.96296296296296291</c:v>
                </c:pt>
                <c:pt idx="79">
                  <c:v>0.97530864197530864</c:v>
                </c:pt>
                <c:pt idx="80">
                  <c:v>0.98765432098765427</c:v>
                </c:pt>
                <c:pt idx="8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4-4D64-989D-121EF0B4A9C7}"/>
            </c:ext>
          </c:extLst>
        </c:ser>
        <c:ser>
          <c:idx val="1"/>
          <c:order val="1"/>
          <c:tx>
            <c:strRef>
              <c:f>'14.11 avance'!$H$1</c:f>
              <c:strCache>
                <c:ptCount val="1"/>
                <c:pt idx="0">
                  <c:v>Tareas completadas total (proyecto) %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'14.11 avance'!$B$2:$B$83</c:f>
              <c:numCache>
                <c:formatCode>m/d/yyyy</c:formatCode>
                <c:ptCount val="82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  <c:pt idx="30">
                  <c:v>45931</c:v>
                </c:pt>
                <c:pt idx="31">
                  <c:v>45932</c:v>
                </c:pt>
                <c:pt idx="32">
                  <c:v>45933</c:v>
                </c:pt>
                <c:pt idx="33">
                  <c:v>45934</c:v>
                </c:pt>
                <c:pt idx="34">
                  <c:v>45935</c:v>
                </c:pt>
                <c:pt idx="35">
                  <c:v>45936</c:v>
                </c:pt>
                <c:pt idx="36">
                  <c:v>45937</c:v>
                </c:pt>
                <c:pt idx="37">
                  <c:v>45938</c:v>
                </c:pt>
                <c:pt idx="38">
                  <c:v>45939</c:v>
                </c:pt>
                <c:pt idx="39">
                  <c:v>45940</c:v>
                </c:pt>
                <c:pt idx="40">
                  <c:v>45941</c:v>
                </c:pt>
                <c:pt idx="41">
                  <c:v>45942</c:v>
                </c:pt>
                <c:pt idx="42">
                  <c:v>45943</c:v>
                </c:pt>
                <c:pt idx="43">
                  <c:v>45944</c:v>
                </c:pt>
                <c:pt idx="44">
                  <c:v>45945</c:v>
                </c:pt>
                <c:pt idx="45">
                  <c:v>45946</c:v>
                </c:pt>
                <c:pt idx="46">
                  <c:v>45947</c:v>
                </c:pt>
                <c:pt idx="47">
                  <c:v>45948</c:v>
                </c:pt>
                <c:pt idx="48">
                  <c:v>45949</c:v>
                </c:pt>
                <c:pt idx="49">
                  <c:v>45950</c:v>
                </c:pt>
                <c:pt idx="50">
                  <c:v>45951</c:v>
                </c:pt>
                <c:pt idx="51">
                  <c:v>45952</c:v>
                </c:pt>
                <c:pt idx="52">
                  <c:v>45953</c:v>
                </c:pt>
                <c:pt idx="53">
                  <c:v>45954</c:v>
                </c:pt>
                <c:pt idx="54">
                  <c:v>45955</c:v>
                </c:pt>
                <c:pt idx="55">
                  <c:v>45956</c:v>
                </c:pt>
                <c:pt idx="56">
                  <c:v>45957</c:v>
                </c:pt>
                <c:pt idx="57">
                  <c:v>45958</c:v>
                </c:pt>
                <c:pt idx="58">
                  <c:v>45959</c:v>
                </c:pt>
                <c:pt idx="59">
                  <c:v>45960</c:v>
                </c:pt>
                <c:pt idx="60">
                  <c:v>45961</c:v>
                </c:pt>
                <c:pt idx="61">
                  <c:v>45962</c:v>
                </c:pt>
                <c:pt idx="62">
                  <c:v>45963</c:v>
                </c:pt>
                <c:pt idx="63">
                  <c:v>45964</c:v>
                </c:pt>
                <c:pt idx="64">
                  <c:v>45965</c:v>
                </c:pt>
                <c:pt idx="65">
                  <c:v>45966</c:v>
                </c:pt>
                <c:pt idx="66">
                  <c:v>45967</c:v>
                </c:pt>
                <c:pt idx="67">
                  <c:v>45968</c:v>
                </c:pt>
                <c:pt idx="68">
                  <c:v>45969</c:v>
                </c:pt>
                <c:pt idx="69">
                  <c:v>45970</c:v>
                </c:pt>
                <c:pt idx="70">
                  <c:v>45971</c:v>
                </c:pt>
                <c:pt idx="71">
                  <c:v>45972</c:v>
                </c:pt>
                <c:pt idx="72">
                  <c:v>45973</c:v>
                </c:pt>
                <c:pt idx="73">
                  <c:v>45974</c:v>
                </c:pt>
                <c:pt idx="74">
                  <c:v>45975</c:v>
                </c:pt>
                <c:pt idx="75">
                  <c:v>45976</c:v>
                </c:pt>
                <c:pt idx="76">
                  <c:v>45977</c:v>
                </c:pt>
                <c:pt idx="77">
                  <c:v>45978</c:v>
                </c:pt>
                <c:pt idx="78">
                  <c:v>45979</c:v>
                </c:pt>
                <c:pt idx="79">
                  <c:v>45980</c:v>
                </c:pt>
                <c:pt idx="80">
                  <c:v>45981</c:v>
                </c:pt>
                <c:pt idx="81">
                  <c:v>45982</c:v>
                </c:pt>
              </c:numCache>
            </c:numRef>
          </c:cat>
          <c:val>
            <c:numRef>
              <c:f>'14.11 avance'!$H$2:$H$76</c:f>
              <c:numCache>
                <c:formatCode>0%</c:formatCode>
                <c:ptCount val="75"/>
                <c:pt idx="0">
                  <c:v>1.2345679012345678E-2</c:v>
                </c:pt>
                <c:pt idx="1">
                  <c:v>1.2345679012345678E-2</c:v>
                </c:pt>
                <c:pt idx="2">
                  <c:v>2.4691358024691357E-2</c:v>
                </c:pt>
                <c:pt idx="3">
                  <c:v>4.9382716049382713E-2</c:v>
                </c:pt>
                <c:pt idx="4">
                  <c:v>6.1728395061728392E-2</c:v>
                </c:pt>
                <c:pt idx="5">
                  <c:v>6.1728395061728392E-2</c:v>
                </c:pt>
                <c:pt idx="6">
                  <c:v>7.407407407407407E-2</c:v>
                </c:pt>
                <c:pt idx="7">
                  <c:v>9.8765432098765427E-2</c:v>
                </c:pt>
                <c:pt idx="8">
                  <c:v>0.1111111111111111</c:v>
                </c:pt>
                <c:pt idx="9">
                  <c:v>0.13580246913580246</c:v>
                </c:pt>
                <c:pt idx="10">
                  <c:v>0.14814814814814814</c:v>
                </c:pt>
                <c:pt idx="11">
                  <c:v>0.16049382716049382</c:v>
                </c:pt>
                <c:pt idx="12">
                  <c:v>0.18518518518518517</c:v>
                </c:pt>
                <c:pt idx="13">
                  <c:v>0.19753086419753085</c:v>
                </c:pt>
                <c:pt idx="14">
                  <c:v>0.22222222222222221</c:v>
                </c:pt>
                <c:pt idx="15">
                  <c:v>0.23456790123456789</c:v>
                </c:pt>
                <c:pt idx="16">
                  <c:v>0.25925925925925924</c:v>
                </c:pt>
                <c:pt idx="17">
                  <c:v>0.27160493827160492</c:v>
                </c:pt>
                <c:pt idx="18">
                  <c:v>0.29629629629629628</c:v>
                </c:pt>
                <c:pt idx="19">
                  <c:v>0.29629629629629628</c:v>
                </c:pt>
                <c:pt idx="20">
                  <c:v>0.30864197530864196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0.34567901234567899</c:v>
                </c:pt>
                <c:pt idx="24">
                  <c:v>0.34567901234567899</c:v>
                </c:pt>
                <c:pt idx="25">
                  <c:v>0.35802469135802467</c:v>
                </c:pt>
                <c:pt idx="26">
                  <c:v>0.35802469135802467</c:v>
                </c:pt>
                <c:pt idx="27">
                  <c:v>0.37037037037037035</c:v>
                </c:pt>
                <c:pt idx="28">
                  <c:v>0.38271604938271603</c:v>
                </c:pt>
                <c:pt idx="29">
                  <c:v>0.38271604938271603</c:v>
                </c:pt>
                <c:pt idx="30">
                  <c:v>0.38271604938271603</c:v>
                </c:pt>
                <c:pt idx="31">
                  <c:v>0.39506172839506171</c:v>
                </c:pt>
                <c:pt idx="32">
                  <c:v>0.39506172839506171</c:v>
                </c:pt>
                <c:pt idx="33">
                  <c:v>0.40740740740740738</c:v>
                </c:pt>
                <c:pt idx="34">
                  <c:v>0.41975308641975306</c:v>
                </c:pt>
                <c:pt idx="35">
                  <c:v>0.41975308641975306</c:v>
                </c:pt>
                <c:pt idx="36">
                  <c:v>0.44444444444444442</c:v>
                </c:pt>
                <c:pt idx="37">
                  <c:v>0.44444444444444442</c:v>
                </c:pt>
                <c:pt idx="38">
                  <c:v>0.46913580246913578</c:v>
                </c:pt>
                <c:pt idx="39">
                  <c:v>0.48148148148148145</c:v>
                </c:pt>
                <c:pt idx="40">
                  <c:v>0.50617283950617287</c:v>
                </c:pt>
                <c:pt idx="41">
                  <c:v>0.51851851851851849</c:v>
                </c:pt>
                <c:pt idx="42">
                  <c:v>0.54320987654320985</c:v>
                </c:pt>
                <c:pt idx="43">
                  <c:v>0.55555555555555558</c:v>
                </c:pt>
                <c:pt idx="44">
                  <c:v>0.5679012345679012</c:v>
                </c:pt>
                <c:pt idx="45">
                  <c:v>0.5679012345679012</c:v>
                </c:pt>
                <c:pt idx="46">
                  <c:v>0.5679012345679012</c:v>
                </c:pt>
                <c:pt idx="47">
                  <c:v>0.61728395061728392</c:v>
                </c:pt>
                <c:pt idx="48">
                  <c:v>0.62962962962962965</c:v>
                </c:pt>
                <c:pt idx="49">
                  <c:v>0.64197530864197527</c:v>
                </c:pt>
                <c:pt idx="50">
                  <c:v>0.65432098765432101</c:v>
                </c:pt>
                <c:pt idx="51">
                  <c:v>0.66666666666666663</c:v>
                </c:pt>
                <c:pt idx="52">
                  <c:v>0.71604938271604934</c:v>
                </c:pt>
                <c:pt idx="53">
                  <c:v>0.76543209876543206</c:v>
                </c:pt>
                <c:pt idx="54">
                  <c:v>0.77777777777777779</c:v>
                </c:pt>
                <c:pt idx="55">
                  <c:v>0.79012345679012341</c:v>
                </c:pt>
                <c:pt idx="56">
                  <c:v>0.80246913580246915</c:v>
                </c:pt>
                <c:pt idx="57">
                  <c:v>0.81481481481481477</c:v>
                </c:pt>
                <c:pt idx="58">
                  <c:v>0.8271604938271605</c:v>
                </c:pt>
                <c:pt idx="59">
                  <c:v>0.83950617283950613</c:v>
                </c:pt>
                <c:pt idx="60">
                  <c:v>0.83950617283950613</c:v>
                </c:pt>
                <c:pt idx="61">
                  <c:v>0.83950617283950613</c:v>
                </c:pt>
                <c:pt idx="62">
                  <c:v>0.86419753086419748</c:v>
                </c:pt>
                <c:pt idx="63">
                  <c:v>0.87654320987654322</c:v>
                </c:pt>
                <c:pt idx="64">
                  <c:v>0.88888888888888884</c:v>
                </c:pt>
                <c:pt idx="65">
                  <c:v>0.9135802469135802</c:v>
                </c:pt>
                <c:pt idx="66">
                  <c:v>0.9135802469135802</c:v>
                </c:pt>
                <c:pt idx="67">
                  <c:v>0.92592592592592593</c:v>
                </c:pt>
                <c:pt idx="68">
                  <c:v>0.92592592592592593</c:v>
                </c:pt>
                <c:pt idx="69">
                  <c:v>0.93827160493827155</c:v>
                </c:pt>
                <c:pt idx="70">
                  <c:v>0.93827160493827155</c:v>
                </c:pt>
                <c:pt idx="71">
                  <c:v>0.96296296296296291</c:v>
                </c:pt>
                <c:pt idx="72">
                  <c:v>0.97530864197530864</c:v>
                </c:pt>
                <c:pt idx="73">
                  <c:v>0.98765432098765427</c:v>
                </c:pt>
                <c:pt idx="74">
                  <c:v>1.0123456790123457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B4-4D64-989D-121EF0B4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0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Avance</a:t>
                </a:r>
                <a:r>
                  <a:rPr lang="es-CL" baseline="0"/>
                  <a:t> porcentaje %</a:t>
                </a: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233910</xdr:colOff>
      <xdr:row>2</xdr:row>
      <xdr:rowOff>33492</xdr:rowOff>
    </xdr:from>
    <xdr:ext cx="5231469" cy="38334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8D57B-4296-4605-9D0E-614C0A97D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22</xdr:col>
      <xdr:colOff>577189</xdr:colOff>
      <xdr:row>6</xdr:row>
      <xdr:rowOff>152970</xdr:rowOff>
    </xdr:from>
    <xdr:to>
      <xdr:col>22</xdr:col>
      <xdr:colOff>581865</xdr:colOff>
      <xdr:row>16</xdr:row>
      <xdr:rowOff>25901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967C0C36-8382-420B-9411-1ACA9BCEEC8A}"/>
            </a:ext>
          </a:extLst>
        </xdr:cNvPr>
        <xdr:cNvCxnSpPr/>
      </xdr:nvCxnSpPr>
      <xdr:spPr>
        <a:xfrm flipV="1">
          <a:off x="19992949" y="1745550"/>
          <a:ext cx="4676" cy="1701731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542907</xdr:colOff>
      <xdr:row>4</xdr:row>
      <xdr:rowOff>180688</xdr:rowOff>
    </xdr:from>
    <xdr:to>
      <xdr:col>23</xdr:col>
      <xdr:colOff>525517</xdr:colOff>
      <xdr:row>6</xdr:row>
      <xdr:rowOff>17517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D221834-21A7-4F61-B447-76324558A16A}"/>
            </a:ext>
          </a:extLst>
        </xdr:cNvPr>
        <xdr:cNvSpPr txBox="1"/>
      </xdr:nvSpPr>
      <xdr:spPr>
        <a:xfrm>
          <a:off x="19349067" y="1407508"/>
          <a:ext cx="1201810" cy="202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100"/>
            <a:t>Actual</a:t>
          </a:r>
          <a:r>
            <a:rPr lang="es-CL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14</a:t>
          </a:r>
          <a:r>
            <a:rPr lang="es-CL" sz="1100"/>
            <a:t>-11-25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CAB4-6071-49C0-920E-67EDFA38FE34}">
  <dimension ref="A1:AD83"/>
  <sheetViews>
    <sheetView tabSelected="1" zoomScale="87" zoomScaleNormal="91" workbookViewId="0">
      <pane ySplit="1" topLeftCell="A2" activePane="bottomLeft" state="frozen"/>
      <selection pane="bottomLeft" activeCell="P78" sqref="P78"/>
    </sheetView>
  </sheetViews>
  <sheetFormatPr baseColWidth="10" defaultColWidth="8.88671875" defaultRowHeight="14.4" x14ac:dyDescent="0.3"/>
  <cols>
    <col min="1" max="1" width="19.21875" customWidth="1"/>
    <col min="2" max="2" width="24.6640625" style="1" customWidth="1"/>
    <col min="4" max="4" width="26.21875" customWidth="1"/>
    <col min="5" max="5" width="14.44140625" customWidth="1"/>
    <col min="6" max="6" width="26.33203125" customWidth="1"/>
    <col min="7" max="7" width="18" style="14" customWidth="1"/>
    <col min="8" max="8" width="17.6640625" customWidth="1"/>
    <col min="9" max="9" width="12.109375" customWidth="1"/>
  </cols>
  <sheetData>
    <row r="1" spans="1:28" ht="53.4" customHeight="1" x14ac:dyDescent="0.3">
      <c r="B1" s="5" t="s">
        <v>4</v>
      </c>
      <c r="C1" s="3" t="s">
        <v>0</v>
      </c>
      <c r="D1" s="4" t="s">
        <v>1</v>
      </c>
      <c r="E1" s="4" t="s">
        <v>2</v>
      </c>
      <c r="F1" s="4" t="s">
        <v>3</v>
      </c>
      <c r="G1" s="13" t="s">
        <v>11</v>
      </c>
      <c r="H1" s="4" t="s">
        <v>12</v>
      </c>
      <c r="I1" s="15" t="s">
        <v>13</v>
      </c>
    </row>
    <row r="2" spans="1:28" x14ac:dyDescent="0.3">
      <c r="A2" s="7" t="s">
        <v>10</v>
      </c>
      <c r="B2" s="8">
        <v>45901</v>
      </c>
      <c r="C2">
        <v>1</v>
      </c>
      <c r="D2">
        <v>1</v>
      </c>
      <c r="E2">
        <v>1</v>
      </c>
      <c r="F2">
        <v>1</v>
      </c>
      <c r="G2" s="19">
        <f>(D2*100%)/81</f>
        <v>1.2345679012345678E-2</v>
      </c>
      <c r="H2" s="19">
        <f>(100%*F2)/81</f>
        <v>1.2345679012345678E-2</v>
      </c>
      <c r="I2" s="16">
        <f>H2-G2</f>
        <v>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">
      <c r="A3" s="7" t="s">
        <v>10</v>
      </c>
      <c r="B3" s="8">
        <v>45902</v>
      </c>
      <c r="C3">
        <v>2</v>
      </c>
      <c r="D3">
        <v>2</v>
      </c>
      <c r="E3">
        <v>0</v>
      </c>
      <c r="F3">
        <v>1</v>
      </c>
      <c r="G3" s="19">
        <f t="shared" ref="G3:G66" si="0">(D3*100%)/81</f>
        <v>2.4691358024691357E-2</v>
      </c>
      <c r="H3" s="19">
        <f t="shared" ref="H3:H66" si="1">(100%*F3)/81</f>
        <v>1.2345679012345678E-2</v>
      </c>
      <c r="I3" s="16">
        <f t="shared" ref="I3:I66" si="2">H3-G3</f>
        <v>-1.2345679012345678E-2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3">
      <c r="A4" s="7" t="s">
        <v>10</v>
      </c>
      <c r="B4" s="8">
        <v>45903</v>
      </c>
      <c r="C4">
        <v>3</v>
      </c>
      <c r="D4">
        <v>3</v>
      </c>
      <c r="E4">
        <v>1</v>
      </c>
      <c r="F4">
        <v>2</v>
      </c>
      <c r="G4" s="19">
        <f t="shared" si="0"/>
        <v>3.7037037037037035E-2</v>
      </c>
      <c r="H4" s="19">
        <f t="shared" si="1"/>
        <v>2.4691358024691357E-2</v>
      </c>
      <c r="I4" s="16">
        <f t="shared" si="2"/>
        <v>-1.2345679012345678E-2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x14ac:dyDescent="0.3">
      <c r="A5" s="7" t="s">
        <v>10</v>
      </c>
      <c r="B5" s="8">
        <v>45904</v>
      </c>
      <c r="C5">
        <v>4</v>
      </c>
      <c r="D5">
        <v>4</v>
      </c>
      <c r="E5">
        <v>2</v>
      </c>
      <c r="F5">
        <v>4</v>
      </c>
      <c r="G5" s="19">
        <f t="shared" si="0"/>
        <v>4.9382716049382713E-2</v>
      </c>
      <c r="H5" s="19">
        <f t="shared" si="1"/>
        <v>4.9382716049382713E-2</v>
      </c>
      <c r="I5" s="16">
        <f t="shared" si="2"/>
        <v>0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x14ac:dyDescent="0.3">
      <c r="A6" s="7" t="s">
        <v>10</v>
      </c>
      <c r="B6" s="8">
        <v>45905</v>
      </c>
      <c r="C6">
        <v>5</v>
      </c>
      <c r="D6">
        <v>5</v>
      </c>
      <c r="E6">
        <v>1</v>
      </c>
      <c r="F6">
        <v>5</v>
      </c>
      <c r="G6" s="19">
        <f t="shared" si="0"/>
        <v>6.1728395061728392E-2</v>
      </c>
      <c r="H6" s="19">
        <f t="shared" si="1"/>
        <v>6.1728395061728392E-2</v>
      </c>
      <c r="I6" s="16">
        <f t="shared" si="2"/>
        <v>0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x14ac:dyDescent="0.3">
      <c r="A7" s="7" t="s">
        <v>10</v>
      </c>
      <c r="B7" s="8">
        <v>45906</v>
      </c>
      <c r="C7">
        <v>6</v>
      </c>
      <c r="D7">
        <v>6</v>
      </c>
      <c r="E7">
        <v>0</v>
      </c>
      <c r="F7">
        <v>5</v>
      </c>
      <c r="G7" s="19">
        <f t="shared" si="0"/>
        <v>7.407407407407407E-2</v>
      </c>
      <c r="H7" s="19">
        <f t="shared" si="1"/>
        <v>6.1728395061728392E-2</v>
      </c>
      <c r="I7" s="16">
        <f t="shared" si="2"/>
        <v>-1.2345679012345678E-2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x14ac:dyDescent="0.3">
      <c r="A8" s="7" t="s">
        <v>10</v>
      </c>
      <c r="B8" s="8">
        <v>45907</v>
      </c>
      <c r="C8">
        <v>7</v>
      </c>
      <c r="D8">
        <v>7</v>
      </c>
      <c r="E8">
        <v>1</v>
      </c>
      <c r="F8">
        <v>6</v>
      </c>
      <c r="G8" s="19">
        <f t="shared" si="0"/>
        <v>8.6419753086419748E-2</v>
      </c>
      <c r="H8" s="19">
        <f t="shared" si="1"/>
        <v>7.407407407407407E-2</v>
      </c>
      <c r="I8" s="16">
        <f t="shared" si="2"/>
        <v>-1.2345679012345678E-2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x14ac:dyDescent="0.3">
      <c r="A9" s="9" t="s">
        <v>5</v>
      </c>
      <c r="B9" s="2">
        <v>45908</v>
      </c>
      <c r="C9">
        <v>8</v>
      </c>
      <c r="D9">
        <v>8</v>
      </c>
      <c r="E9">
        <v>2</v>
      </c>
      <c r="F9">
        <v>8</v>
      </c>
      <c r="G9" s="20">
        <f t="shared" si="0"/>
        <v>9.8765432098765427E-2</v>
      </c>
      <c r="H9" s="20">
        <f t="shared" si="1"/>
        <v>9.8765432098765427E-2</v>
      </c>
      <c r="I9" s="18">
        <f t="shared" si="2"/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x14ac:dyDescent="0.3">
      <c r="A10" s="9" t="s">
        <v>5</v>
      </c>
      <c r="B10" s="2">
        <v>45909</v>
      </c>
      <c r="C10">
        <v>9</v>
      </c>
      <c r="D10">
        <v>9</v>
      </c>
      <c r="E10">
        <v>1</v>
      </c>
      <c r="F10">
        <v>9</v>
      </c>
      <c r="G10" s="19">
        <f t="shared" si="0"/>
        <v>0.1111111111111111</v>
      </c>
      <c r="H10" s="19">
        <f t="shared" si="1"/>
        <v>0.1111111111111111</v>
      </c>
      <c r="I10" s="16">
        <f t="shared" si="2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x14ac:dyDescent="0.3">
      <c r="A11" s="9" t="s">
        <v>5</v>
      </c>
      <c r="B11" s="2">
        <v>45910</v>
      </c>
      <c r="C11">
        <v>10</v>
      </c>
      <c r="D11">
        <v>10</v>
      </c>
      <c r="E11">
        <v>2</v>
      </c>
      <c r="F11">
        <v>11</v>
      </c>
      <c r="G11" s="19">
        <f t="shared" si="0"/>
        <v>0.12345679012345678</v>
      </c>
      <c r="H11" s="19">
        <f t="shared" si="1"/>
        <v>0.13580246913580246</v>
      </c>
      <c r="I11" s="16">
        <f t="shared" si="2"/>
        <v>1.2345679012345678E-2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x14ac:dyDescent="0.3">
      <c r="A12" s="9" t="s">
        <v>5</v>
      </c>
      <c r="B12" s="2">
        <v>45911</v>
      </c>
      <c r="C12">
        <v>11</v>
      </c>
      <c r="D12">
        <v>11</v>
      </c>
      <c r="E12">
        <v>1</v>
      </c>
      <c r="F12">
        <v>12</v>
      </c>
      <c r="G12" s="19">
        <f t="shared" si="0"/>
        <v>0.13580246913580246</v>
      </c>
      <c r="H12" s="19">
        <f t="shared" si="1"/>
        <v>0.14814814814814814</v>
      </c>
      <c r="I12" s="16">
        <f t="shared" si="2"/>
        <v>1.2345679012345678E-2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x14ac:dyDescent="0.3">
      <c r="A13" s="9" t="s">
        <v>5</v>
      </c>
      <c r="B13" s="2">
        <v>45912</v>
      </c>
      <c r="C13">
        <v>12</v>
      </c>
      <c r="D13">
        <v>12</v>
      </c>
      <c r="E13">
        <v>1</v>
      </c>
      <c r="F13">
        <v>13</v>
      </c>
      <c r="G13" s="19">
        <f t="shared" si="0"/>
        <v>0.14814814814814814</v>
      </c>
      <c r="H13" s="19">
        <f t="shared" si="1"/>
        <v>0.16049382716049382</v>
      </c>
      <c r="I13" s="16">
        <f t="shared" si="2"/>
        <v>1.2345679012345678E-2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x14ac:dyDescent="0.3">
      <c r="A14" s="9" t="s">
        <v>5</v>
      </c>
      <c r="B14" s="2">
        <v>45913</v>
      </c>
      <c r="C14">
        <v>13</v>
      </c>
      <c r="D14">
        <v>13</v>
      </c>
      <c r="E14">
        <v>2</v>
      </c>
      <c r="F14">
        <v>15</v>
      </c>
      <c r="G14" s="19">
        <f t="shared" si="0"/>
        <v>0.16049382716049382</v>
      </c>
      <c r="H14" s="19">
        <f t="shared" si="1"/>
        <v>0.18518518518518517</v>
      </c>
      <c r="I14" s="16">
        <f t="shared" si="2"/>
        <v>2.4691358024691357E-2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x14ac:dyDescent="0.3">
      <c r="A15" s="9" t="s">
        <v>5</v>
      </c>
      <c r="B15" s="2">
        <v>45914</v>
      </c>
      <c r="C15">
        <v>14</v>
      </c>
      <c r="D15">
        <v>13</v>
      </c>
      <c r="E15">
        <v>1</v>
      </c>
      <c r="F15">
        <v>16</v>
      </c>
      <c r="G15" s="19">
        <f t="shared" si="0"/>
        <v>0.16049382716049382</v>
      </c>
      <c r="H15" s="19">
        <f t="shared" si="1"/>
        <v>0.19753086419753085</v>
      </c>
      <c r="I15" s="16">
        <f t="shared" si="2"/>
        <v>3.7037037037037035E-2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x14ac:dyDescent="0.3">
      <c r="A16" s="9" t="s">
        <v>5</v>
      </c>
      <c r="B16" s="2">
        <v>45915</v>
      </c>
      <c r="C16">
        <v>15</v>
      </c>
      <c r="D16">
        <v>14</v>
      </c>
      <c r="E16">
        <v>2</v>
      </c>
      <c r="F16">
        <v>18</v>
      </c>
      <c r="G16" s="19">
        <f t="shared" si="0"/>
        <v>0.1728395061728395</v>
      </c>
      <c r="H16" s="19">
        <f t="shared" si="1"/>
        <v>0.22222222222222221</v>
      </c>
      <c r="I16" s="16">
        <f t="shared" si="2"/>
        <v>4.9382716049382713E-2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30" x14ac:dyDescent="0.3">
      <c r="A17" s="9" t="s">
        <v>5</v>
      </c>
      <c r="B17" s="2">
        <v>45916</v>
      </c>
      <c r="C17">
        <v>16</v>
      </c>
      <c r="D17">
        <v>15</v>
      </c>
      <c r="E17">
        <v>1</v>
      </c>
      <c r="F17">
        <v>19</v>
      </c>
      <c r="G17" s="19">
        <f t="shared" si="0"/>
        <v>0.18518518518518517</v>
      </c>
      <c r="H17" s="19">
        <f t="shared" si="1"/>
        <v>0.23456790123456789</v>
      </c>
      <c r="I17" s="16">
        <f t="shared" si="2"/>
        <v>4.9382716049382713E-2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30" x14ac:dyDescent="0.3">
      <c r="A18" s="9" t="s">
        <v>5</v>
      </c>
      <c r="B18" s="2">
        <v>45917</v>
      </c>
      <c r="C18">
        <v>17</v>
      </c>
      <c r="D18">
        <v>16</v>
      </c>
      <c r="E18">
        <v>2</v>
      </c>
      <c r="F18">
        <v>21</v>
      </c>
      <c r="G18" s="19">
        <f t="shared" si="0"/>
        <v>0.19753086419753085</v>
      </c>
      <c r="H18" s="19">
        <f t="shared" si="1"/>
        <v>0.25925925925925924</v>
      </c>
      <c r="I18" s="16">
        <f t="shared" si="2"/>
        <v>6.1728395061728392E-2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30" x14ac:dyDescent="0.3">
      <c r="A19" s="9" t="s">
        <v>5</v>
      </c>
      <c r="B19" s="2">
        <v>45918</v>
      </c>
      <c r="C19">
        <v>18</v>
      </c>
      <c r="D19">
        <v>17</v>
      </c>
      <c r="E19">
        <v>1</v>
      </c>
      <c r="F19">
        <v>22</v>
      </c>
      <c r="G19" s="19">
        <f t="shared" si="0"/>
        <v>0.20987654320987653</v>
      </c>
      <c r="H19" s="19">
        <f t="shared" si="1"/>
        <v>0.27160493827160492</v>
      </c>
      <c r="I19" s="16">
        <f t="shared" si="2"/>
        <v>6.1728395061728392E-2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30" x14ac:dyDescent="0.3">
      <c r="A20" s="9" t="s">
        <v>5</v>
      </c>
      <c r="B20" s="2">
        <v>45919</v>
      </c>
      <c r="C20">
        <v>19</v>
      </c>
      <c r="D20">
        <v>18</v>
      </c>
      <c r="E20">
        <v>2</v>
      </c>
      <c r="F20">
        <v>24</v>
      </c>
      <c r="G20" s="20">
        <f t="shared" si="0"/>
        <v>0.22222222222222221</v>
      </c>
      <c r="H20" s="20">
        <f t="shared" si="1"/>
        <v>0.29629629629629628</v>
      </c>
      <c r="I20" s="18">
        <f>H20-G20</f>
        <v>7.407407407407407E-2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D20" s="17"/>
    </row>
    <row r="21" spans="1:30" x14ac:dyDescent="0.3">
      <c r="A21" s="10" t="s">
        <v>6</v>
      </c>
      <c r="B21" s="11">
        <v>45920</v>
      </c>
      <c r="C21">
        <v>20</v>
      </c>
      <c r="D21">
        <v>18</v>
      </c>
      <c r="E21">
        <v>0</v>
      </c>
      <c r="F21">
        <v>24</v>
      </c>
      <c r="G21" s="19">
        <f t="shared" si="0"/>
        <v>0.22222222222222221</v>
      </c>
      <c r="H21" s="19">
        <f t="shared" si="1"/>
        <v>0.29629629629629628</v>
      </c>
      <c r="I21" s="16">
        <f t="shared" si="2"/>
        <v>7.407407407407407E-2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30" x14ac:dyDescent="0.3">
      <c r="A22" s="10" t="s">
        <v>6</v>
      </c>
      <c r="B22" s="11">
        <v>45921</v>
      </c>
      <c r="C22">
        <v>21</v>
      </c>
      <c r="D22">
        <v>18</v>
      </c>
      <c r="E22">
        <v>1</v>
      </c>
      <c r="F22">
        <v>25</v>
      </c>
      <c r="G22" s="19">
        <f t="shared" si="0"/>
        <v>0.22222222222222221</v>
      </c>
      <c r="H22" s="19">
        <f t="shared" si="1"/>
        <v>0.30864197530864196</v>
      </c>
      <c r="I22" s="16">
        <f t="shared" si="2"/>
        <v>8.6419753086419748E-2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30" x14ac:dyDescent="0.3">
      <c r="A23" s="10" t="s">
        <v>6</v>
      </c>
      <c r="B23" s="11">
        <v>45922</v>
      </c>
      <c r="C23">
        <v>22</v>
      </c>
      <c r="D23">
        <v>19</v>
      </c>
      <c r="E23">
        <v>2</v>
      </c>
      <c r="F23">
        <v>27</v>
      </c>
      <c r="G23" s="19">
        <f t="shared" si="0"/>
        <v>0.23456790123456789</v>
      </c>
      <c r="H23" s="19">
        <f t="shared" si="1"/>
        <v>0.33333333333333331</v>
      </c>
      <c r="I23" s="16">
        <f t="shared" si="2"/>
        <v>9.8765432098765427E-2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30" x14ac:dyDescent="0.3">
      <c r="A24" s="10" t="s">
        <v>6</v>
      </c>
      <c r="B24" s="11">
        <v>45923</v>
      </c>
      <c r="C24">
        <v>23</v>
      </c>
      <c r="D24">
        <v>20</v>
      </c>
      <c r="E24">
        <v>0</v>
      </c>
      <c r="F24">
        <v>27</v>
      </c>
      <c r="G24" s="19">
        <f t="shared" si="0"/>
        <v>0.24691358024691357</v>
      </c>
      <c r="H24" s="19">
        <f t="shared" si="1"/>
        <v>0.33333333333333331</v>
      </c>
      <c r="I24" s="16">
        <f t="shared" si="2"/>
        <v>8.6419753086419748E-2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30" x14ac:dyDescent="0.3">
      <c r="A25" s="10" t="s">
        <v>6</v>
      </c>
      <c r="B25" s="11">
        <v>45924</v>
      </c>
      <c r="C25">
        <v>24</v>
      </c>
      <c r="D25">
        <v>21</v>
      </c>
      <c r="E25">
        <v>1</v>
      </c>
      <c r="F25">
        <v>28</v>
      </c>
      <c r="G25" s="19">
        <f t="shared" si="0"/>
        <v>0.25925925925925924</v>
      </c>
      <c r="H25" s="19">
        <f t="shared" si="1"/>
        <v>0.34567901234567899</v>
      </c>
      <c r="I25" s="16">
        <f t="shared" si="2"/>
        <v>8.6419753086419748E-2</v>
      </c>
    </row>
    <row r="26" spans="1:30" x14ac:dyDescent="0.3">
      <c r="A26" s="10" t="s">
        <v>6</v>
      </c>
      <c r="B26" s="11">
        <v>45925</v>
      </c>
      <c r="C26">
        <v>25</v>
      </c>
      <c r="D26">
        <v>22</v>
      </c>
      <c r="E26">
        <v>0</v>
      </c>
      <c r="F26">
        <v>28</v>
      </c>
      <c r="G26" s="19">
        <f t="shared" si="0"/>
        <v>0.27160493827160492</v>
      </c>
      <c r="H26" s="19">
        <f t="shared" si="1"/>
        <v>0.34567901234567899</v>
      </c>
      <c r="I26" s="16">
        <f t="shared" si="2"/>
        <v>7.407407407407407E-2</v>
      </c>
    </row>
    <row r="27" spans="1:30" x14ac:dyDescent="0.3">
      <c r="A27" s="10" t="s">
        <v>6</v>
      </c>
      <c r="B27" s="11">
        <v>45926</v>
      </c>
      <c r="C27">
        <v>26</v>
      </c>
      <c r="D27">
        <v>23</v>
      </c>
      <c r="E27">
        <v>1</v>
      </c>
      <c r="F27">
        <v>29</v>
      </c>
      <c r="G27" s="19">
        <f t="shared" si="0"/>
        <v>0.2839506172839506</v>
      </c>
      <c r="H27" s="19">
        <f t="shared" si="1"/>
        <v>0.35802469135802467</v>
      </c>
      <c r="I27" s="16">
        <f t="shared" si="2"/>
        <v>7.407407407407407E-2</v>
      </c>
    </row>
    <row r="28" spans="1:30" x14ac:dyDescent="0.3">
      <c r="A28" s="10" t="s">
        <v>6</v>
      </c>
      <c r="B28" s="11">
        <v>45927</v>
      </c>
      <c r="C28">
        <v>27</v>
      </c>
      <c r="D28">
        <v>24</v>
      </c>
      <c r="E28">
        <v>0</v>
      </c>
      <c r="F28">
        <v>29</v>
      </c>
      <c r="G28" s="19">
        <f t="shared" si="0"/>
        <v>0.29629629629629628</v>
      </c>
      <c r="H28" s="19">
        <f t="shared" si="1"/>
        <v>0.35802469135802467</v>
      </c>
      <c r="I28" s="16">
        <f t="shared" si="2"/>
        <v>6.1728395061728392E-2</v>
      </c>
    </row>
    <row r="29" spans="1:30" x14ac:dyDescent="0.3">
      <c r="A29" s="10" t="s">
        <v>6</v>
      </c>
      <c r="B29" s="11">
        <v>45928</v>
      </c>
      <c r="C29">
        <v>28</v>
      </c>
      <c r="D29">
        <v>25</v>
      </c>
      <c r="E29">
        <v>1</v>
      </c>
      <c r="F29">
        <v>30</v>
      </c>
      <c r="G29" s="19">
        <f t="shared" si="0"/>
        <v>0.30864197530864196</v>
      </c>
      <c r="H29" s="19">
        <f t="shared" si="1"/>
        <v>0.37037037037037035</v>
      </c>
      <c r="I29" s="16">
        <f t="shared" si="2"/>
        <v>6.1728395061728392E-2</v>
      </c>
    </row>
    <row r="30" spans="1:30" x14ac:dyDescent="0.3">
      <c r="A30" s="10" t="s">
        <v>6</v>
      </c>
      <c r="B30" s="11">
        <v>45929</v>
      </c>
      <c r="C30">
        <v>29</v>
      </c>
      <c r="D30">
        <v>26</v>
      </c>
      <c r="E30">
        <v>1</v>
      </c>
      <c r="F30">
        <v>31</v>
      </c>
      <c r="G30" s="19">
        <f t="shared" si="0"/>
        <v>0.32098765432098764</v>
      </c>
      <c r="H30" s="19">
        <f t="shared" si="1"/>
        <v>0.38271604938271603</v>
      </c>
      <c r="I30" s="16">
        <f t="shared" si="2"/>
        <v>6.1728395061728392E-2</v>
      </c>
    </row>
    <row r="31" spans="1:30" x14ac:dyDescent="0.3">
      <c r="A31" s="10" t="s">
        <v>6</v>
      </c>
      <c r="B31" s="11">
        <v>45930</v>
      </c>
      <c r="C31">
        <v>30</v>
      </c>
      <c r="D31">
        <v>27</v>
      </c>
      <c r="E31">
        <v>0</v>
      </c>
      <c r="F31">
        <v>31</v>
      </c>
      <c r="G31" s="19">
        <f t="shared" si="0"/>
        <v>0.33333333333333331</v>
      </c>
      <c r="H31" s="19">
        <f t="shared" si="1"/>
        <v>0.38271604938271603</v>
      </c>
      <c r="I31" s="16">
        <f t="shared" si="2"/>
        <v>4.9382716049382713E-2</v>
      </c>
    </row>
    <row r="32" spans="1:30" x14ac:dyDescent="0.3">
      <c r="A32" s="10" t="s">
        <v>6</v>
      </c>
      <c r="B32" s="11">
        <v>45931</v>
      </c>
      <c r="C32">
        <v>31</v>
      </c>
      <c r="D32">
        <v>28</v>
      </c>
      <c r="E32">
        <v>0</v>
      </c>
      <c r="F32">
        <v>31</v>
      </c>
      <c r="G32" s="19">
        <f t="shared" si="0"/>
        <v>0.34567901234567899</v>
      </c>
      <c r="H32" s="19">
        <f t="shared" si="1"/>
        <v>0.38271604938271603</v>
      </c>
      <c r="I32" s="16">
        <f t="shared" si="2"/>
        <v>3.7037037037037035E-2</v>
      </c>
    </row>
    <row r="33" spans="1:9" x14ac:dyDescent="0.3">
      <c r="A33" s="10" t="s">
        <v>6</v>
      </c>
      <c r="B33" s="11">
        <v>45932</v>
      </c>
      <c r="C33">
        <v>32</v>
      </c>
      <c r="D33">
        <v>29</v>
      </c>
      <c r="E33">
        <v>1</v>
      </c>
      <c r="F33">
        <v>32</v>
      </c>
      <c r="G33" s="19">
        <f t="shared" si="0"/>
        <v>0.35802469135802467</v>
      </c>
      <c r="H33" s="19">
        <f>(100%*F33)/81</f>
        <v>0.39506172839506171</v>
      </c>
      <c r="I33" s="16">
        <f t="shared" si="2"/>
        <v>3.7037037037037035E-2</v>
      </c>
    </row>
    <row r="34" spans="1:9" x14ac:dyDescent="0.3">
      <c r="A34" s="10" t="s">
        <v>6</v>
      </c>
      <c r="B34" s="11">
        <v>45933</v>
      </c>
      <c r="C34">
        <v>33</v>
      </c>
      <c r="D34">
        <v>30</v>
      </c>
      <c r="E34">
        <v>0</v>
      </c>
      <c r="F34">
        <v>32</v>
      </c>
      <c r="G34" s="20">
        <f t="shared" si="0"/>
        <v>0.37037037037037035</v>
      </c>
      <c r="H34" s="20">
        <f>(100%*F34)/81</f>
        <v>0.39506172839506171</v>
      </c>
      <c r="I34" s="18">
        <f t="shared" si="2"/>
        <v>2.4691358024691357E-2</v>
      </c>
    </row>
    <row r="35" spans="1:9" x14ac:dyDescent="0.3">
      <c r="A35" s="9" t="s">
        <v>7</v>
      </c>
      <c r="B35" s="2">
        <v>45934</v>
      </c>
      <c r="C35">
        <v>34</v>
      </c>
      <c r="D35">
        <v>32</v>
      </c>
      <c r="E35">
        <v>1</v>
      </c>
      <c r="F35">
        <f>F34+E35</f>
        <v>33</v>
      </c>
      <c r="G35" s="19">
        <f t="shared" si="0"/>
        <v>0.39506172839506171</v>
      </c>
      <c r="H35" s="19">
        <f t="shared" si="1"/>
        <v>0.40740740740740738</v>
      </c>
      <c r="I35" s="16">
        <f t="shared" si="2"/>
        <v>1.2345679012345678E-2</v>
      </c>
    </row>
    <row r="36" spans="1:9" x14ac:dyDescent="0.3">
      <c r="A36" s="9" t="s">
        <v>7</v>
      </c>
      <c r="B36" s="2">
        <v>45935</v>
      </c>
      <c r="C36">
        <v>35</v>
      </c>
      <c r="D36">
        <v>34</v>
      </c>
      <c r="E36">
        <v>1</v>
      </c>
      <c r="F36">
        <f t="shared" ref="F36:F40" si="3">F35+E36</f>
        <v>34</v>
      </c>
      <c r="G36" s="19">
        <f t="shared" si="0"/>
        <v>0.41975308641975306</v>
      </c>
      <c r="H36" s="19">
        <f t="shared" si="1"/>
        <v>0.41975308641975306</v>
      </c>
      <c r="I36" s="16">
        <f t="shared" si="2"/>
        <v>0</v>
      </c>
    </row>
    <row r="37" spans="1:9" x14ac:dyDescent="0.3">
      <c r="A37" s="9" t="s">
        <v>7</v>
      </c>
      <c r="B37" s="2">
        <v>45936</v>
      </c>
      <c r="C37">
        <v>36</v>
      </c>
      <c r="D37">
        <v>36</v>
      </c>
      <c r="E37">
        <v>0</v>
      </c>
      <c r="F37">
        <f t="shared" si="3"/>
        <v>34</v>
      </c>
      <c r="G37" s="19">
        <f t="shared" si="0"/>
        <v>0.44444444444444442</v>
      </c>
      <c r="H37" s="19">
        <f t="shared" si="1"/>
        <v>0.41975308641975306</v>
      </c>
      <c r="I37" s="16">
        <f t="shared" si="2"/>
        <v>-2.4691358024691357E-2</v>
      </c>
    </row>
    <row r="38" spans="1:9" x14ac:dyDescent="0.3">
      <c r="A38" s="9" t="s">
        <v>7</v>
      </c>
      <c r="B38" s="2">
        <v>45937</v>
      </c>
      <c r="C38">
        <v>37</v>
      </c>
      <c r="D38">
        <v>38</v>
      </c>
      <c r="E38">
        <v>2</v>
      </c>
      <c r="F38">
        <f t="shared" si="3"/>
        <v>36</v>
      </c>
      <c r="G38" s="19">
        <f t="shared" si="0"/>
        <v>0.46913580246913578</v>
      </c>
      <c r="H38" s="19">
        <f t="shared" si="1"/>
        <v>0.44444444444444442</v>
      </c>
      <c r="I38" s="16">
        <f t="shared" si="2"/>
        <v>-2.4691358024691357E-2</v>
      </c>
    </row>
    <row r="39" spans="1:9" x14ac:dyDescent="0.3">
      <c r="A39" s="9" t="s">
        <v>7</v>
      </c>
      <c r="B39" s="2">
        <v>45938</v>
      </c>
      <c r="C39">
        <v>38</v>
      </c>
      <c r="D39">
        <v>40</v>
      </c>
      <c r="E39">
        <v>0</v>
      </c>
      <c r="F39">
        <f t="shared" si="3"/>
        <v>36</v>
      </c>
      <c r="G39" s="19">
        <f t="shared" si="0"/>
        <v>0.49382716049382713</v>
      </c>
      <c r="H39" s="19">
        <f t="shared" si="1"/>
        <v>0.44444444444444442</v>
      </c>
      <c r="I39" s="16">
        <f t="shared" si="2"/>
        <v>-4.9382716049382713E-2</v>
      </c>
    </row>
    <row r="40" spans="1:9" x14ac:dyDescent="0.3">
      <c r="A40" s="9" t="s">
        <v>7</v>
      </c>
      <c r="B40" s="2">
        <v>45939</v>
      </c>
      <c r="C40">
        <v>39</v>
      </c>
      <c r="D40">
        <v>42</v>
      </c>
      <c r="E40">
        <v>2</v>
      </c>
      <c r="F40">
        <f t="shared" si="3"/>
        <v>38</v>
      </c>
      <c r="G40" s="19">
        <f>(D40*100%)/81</f>
        <v>0.51851851851851849</v>
      </c>
      <c r="H40" s="19">
        <f t="shared" si="1"/>
        <v>0.46913580246913578</v>
      </c>
      <c r="I40" s="16">
        <f t="shared" si="2"/>
        <v>-4.9382716049382713E-2</v>
      </c>
    </row>
    <row r="41" spans="1:9" x14ac:dyDescent="0.3">
      <c r="A41" s="9" t="s">
        <v>7</v>
      </c>
      <c r="B41" s="2">
        <v>45940</v>
      </c>
      <c r="C41" s="7">
        <v>40</v>
      </c>
      <c r="D41" s="7">
        <v>42</v>
      </c>
      <c r="E41">
        <v>1</v>
      </c>
      <c r="F41">
        <f>F40+E41</f>
        <v>39</v>
      </c>
      <c r="G41" s="20">
        <f t="shared" si="0"/>
        <v>0.51851851851851849</v>
      </c>
      <c r="H41" s="20">
        <f t="shared" si="1"/>
        <v>0.48148148148148145</v>
      </c>
      <c r="I41" s="18">
        <f t="shared" si="2"/>
        <v>-3.7037037037037035E-2</v>
      </c>
    </row>
    <row r="42" spans="1:9" x14ac:dyDescent="0.3">
      <c r="A42" s="9" t="s">
        <v>7</v>
      </c>
      <c r="B42" s="2">
        <v>45941</v>
      </c>
      <c r="C42">
        <v>41</v>
      </c>
      <c r="D42">
        <v>44</v>
      </c>
      <c r="E42">
        <v>2</v>
      </c>
      <c r="F42">
        <f t="shared" ref="F42:F47" si="4">F41+E42</f>
        <v>41</v>
      </c>
      <c r="G42" s="19">
        <f t="shared" si="0"/>
        <v>0.54320987654320985</v>
      </c>
      <c r="H42" s="19">
        <f t="shared" si="1"/>
        <v>0.50617283950617287</v>
      </c>
      <c r="I42" s="16">
        <f t="shared" si="2"/>
        <v>-3.7037037037036979E-2</v>
      </c>
    </row>
    <row r="43" spans="1:9" x14ac:dyDescent="0.3">
      <c r="A43" s="9" t="s">
        <v>7</v>
      </c>
      <c r="B43" s="2">
        <v>45942</v>
      </c>
      <c r="C43">
        <v>42</v>
      </c>
      <c r="D43">
        <v>47</v>
      </c>
      <c r="E43">
        <v>1</v>
      </c>
      <c r="F43">
        <f t="shared" si="4"/>
        <v>42</v>
      </c>
      <c r="G43" s="19">
        <f t="shared" si="0"/>
        <v>0.58024691358024694</v>
      </c>
      <c r="H43" s="19">
        <f t="shared" si="1"/>
        <v>0.51851851851851849</v>
      </c>
      <c r="I43" s="16">
        <f t="shared" si="2"/>
        <v>-6.1728395061728447E-2</v>
      </c>
    </row>
    <row r="44" spans="1:9" x14ac:dyDescent="0.3">
      <c r="A44" s="9" t="s">
        <v>7</v>
      </c>
      <c r="B44" s="2">
        <v>45943</v>
      </c>
      <c r="C44">
        <v>43</v>
      </c>
      <c r="D44">
        <v>48</v>
      </c>
      <c r="E44">
        <v>2</v>
      </c>
      <c r="F44">
        <f t="shared" si="4"/>
        <v>44</v>
      </c>
      <c r="G44" s="19">
        <f t="shared" si="0"/>
        <v>0.59259259259259256</v>
      </c>
      <c r="H44" s="19">
        <f t="shared" si="1"/>
        <v>0.54320987654320985</v>
      </c>
      <c r="I44" s="16">
        <f t="shared" si="2"/>
        <v>-4.9382716049382713E-2</v>
      </c>
    </row>
    <row r="45" spans="1:9" x14ac:dyDescent="0.3">
      <c r="A45" s="9" t="s">
        <v>7</v>
      </c>
      <c r="B45" s="2">
        <v>45944</v>
      </c>
      <c r="C45">
        <v>44</v>
      </c>
      <c r="D45">
        <v>49</v>
      </c>
      <c r="E45">
        <v>1</v>
      </c>
      <c r="F45">
        <f t="shared" si="4"/>
        <v>45</v>
      </c>
      <c r="G45" s="19">
        <f t="shared" si="0"/>
        <v>0.60493827160493829</v>
      </c>
      <c r="H45" s="19">
        <f t="shared" si="1"/>
        <v>0.55555555555555558</v>
      </c>
      <c r="I45" s="16">
        <f t="shared" si="2"/>
        <v>-4.9382716049382713E-2</v>
      </c>
    </row>
    <row r="46" spans="1:9" x14ac:dyDescent="0.3">
      <c r="A46" s="9" t="s">
        <v>7</v>
      </c>
      <c r="B46" s="2">
        <v>45945</v>
      </c>
      <c r="C46">
        <v>45</v>
      </c>
      <c r="D46">
        <v>50</v>
      </c>
      <c r="E46">
        <v>1</v>
      </c>
      <c r="F46">
        <f t="shared" si="4"/>
        <v>46</v>
      </c>
      <c r="G46" s="19">
        <f t="shared" si="0"/>
        <v>0.61728395061728392</v>
      </c>
      <c r="H46" s="19">
        <f t="shared" si="1"/>
        <v>0.5679012345679012</v>
      </c>
      <c r="I46" s="16">
        <f t="shared" si="2"/>
        <v>-4.9382716049382713E-2</v>
      </c>
    </row>
    <row r="47" spans="1:9" x14ac:dyDescent="0.3">
      <c r="A47" s="9" t="s">
        <v>7</v>
      </c>
      <c r="B47" s="2">
        <v>45946</v>
      </c>
      <c r="C47">
        <v>46</v>
      </c>
      <c r="D47">
        <v>50</v>
      </c>
      <c r="E47">
        <v>0</v>
      </c>
      <c r="F47">
        <f t="shared" si="4"/>
        <v>46</v>
      </c>
      <c r="G47" s="19">
        <f t="shared" si="0"/>
        <v>0.61728395061728392</v>
      </c>
      <c r="H47" s="19">
        <f t="shared" si="1"/>
        <v>0.5679012345679012</v>
      </c>
      <c r="I47" s="16">
        <f t="shared" si="2"/>
        <v>-4.9382716049382713E-2</v>
      </c>
    </row>
    <row r="48" spans="1:9" x14ac:dyDescent="0.3">
      <c r="A48" s="9" t="s">
        <v>7</v>
      </c>
      <c r="B48" s="2">
        <v>45947</v>
      </c>
      <c r="C48">
        <v>47</v>
      </c>
      <c r="D48">
        <v>50</v>
      </c>
      <c r="E48">
        <v>0</v>
      </c>
      <c r="F48">
        <f>F47+E48</f>
        <v>46</v>
      </c>
      <c r="G48" s="20">
        <f t="shared" si="0"/>
        <v>0.61728395061728392</v>
      </c>
      <c r="H48" s="20">
        <f t="shared" si="1"/>
        <v>0.5679012345679012</v>
      </c>
      <c r="I48" s="18">
        <f t="shared" si="2"/>
        <v>-4.9382716049382713E-2</v>
      </c>
    </row>
    <row r="49" spans="1:9" x14ac:dyDescent="0.3">
      <c r="A49" s="12" t="s">
        <v>8</v>
      </c>
      <c r="B49" s="11">
        <v>45948</v>
      </c>
      <c r="C49">
        <v>48</v>
      </c>
      <c r="D49">
        <v>51</v>
      </c>
      <c r="E49">
        <v>4</v>
      </c>
      <c r="F49">
        <f>F48+E49</f>
        <v>50</v>
      </c>
      <c r="G49" s="19">
        <f t="shared" si="0"/>
        <v>0.62962962962962965</v>
      </c>
      <c r="H49" s="19">
        <f t="shared" si="1"/>
        <v>0.61728395061728392</v>
      </c>
      <c r="I49" s="16">
        <f t="shared" si="2"/>
        <v>-1.2345679012345734E-2</v>
      </c>
    </row>
    <row r="50" spans="1:9" x14ac:dyDescent="0.3">
      <c r="A50" s="12" t="s">
        <v>8</v>
      </c>
      <c r="B50" s="11">
        <v>45949</v>
      </c>
      <c r="C50">
        <v>49</v>
      </c>
      <c r="D50">
        <v>52</v>
      </c>
      <c r="E50">
        <v>1</v>
      </c>
      <c r="F50">
        <f t="shared" ref="F50:F51" si="5">F49+E50</f>
        <v>51</v>
      </c>
      <c r="G50" s="19">
        <f t="shared" si="0"/>
        <v>0.64197530864197527</v>
      </c>
      <c r="H50" s="19">
        <f t="shared" si="1"/>
        <v>0.62962962962962965</v>
      </c>
      <c r="I50" s="16">
        <f t="shared" si="2"/>
        <v>-1.2345679012345623E-2</v>
      </c>
    </row>
    <row r="51" spans="1:9" x14ac:dyDescent="0.3">
      <c r="A51" s="12" t="s">
        <v>8</v>
      </c>
      <c r="B51" s="6">
        <v>45950</v>
      </c>
      <c r="C51">
        <v>50</v>
      </c>
      <c r="D51">
        <v>53</v>
      </c>
      <c r="E51">
        <v>1</v>
      </c>
      <c r="F51">
        <f t="shared" si="5"/>
        <v>52</v>
      </c>
      <c r="G51" s="19">
        <f t="shared" si="0"/>
        <v>0.65432098765432101</v>
      </c>
      <c r="H51" s="19">
        <f t="shared" si="1"/>
        <v>0.64197530864197527</v>
      </c>
      <c r="I51" s="16">
        <f t="shared" si="2"/>
        <v>-1.2345679012345734E-2</v>
      </c>
    </row>
    <row r="52" spans="1:9" x14ac:dyDescent="0.3">
      <c r="A52" s="12" t="s">
        <v>8</v>
      </c>
      <c r="B52" s="6">
        <v>45951</v>
      </c>
      <c r="C52">
        <v>51</v>
      </c>
      <c r="D52">
        <v>54</v>
      </c>
      <c r="E52">
        <v>1</v>
      </c>
      <c r="F52">
        <f>F51+E52</f>
        <v>53</v>
      </c>
      <c r="G52" s="19">
        <f t="shared" si="0"/>
        <v>0.66666666666666663</v>
      </c>
      <c r="H52" s="19">
        <f t="shared" si="1"/>
        <v>0.65432098765432101</v>
      </c>
      <c r="I52" s="16">
        <f t="shared" si="2"/>
        <v>-1.2345679012345623E-2</v>
      </c>
    </row>
    <row r="53" spans="1:9" x14ac:dyDescent="0.3">
      <c r="A53" s="12" t="s">
        <v>8</v>
      </c>
      <c r="B53" s="6">
        <v>45952</v>
      </c>
      <c r="C53">
        <v>52</v>
      </c>
      <c r="D53">
        <v>55</v>
      </c>
      <c r="E53">
        <v>1</v>
      </c>
      <c r="F53">
        <f>F52+E53</f>
        <v>54</v>
      </c>
      <c r="G53" s="19">
        <f t="shared" si="0"/>
        <v>0.67901234567901236</v>
      </c>
      <c r="H53" s="19">
        <f t="shared" si="1"/>
        <v>0.66666666666666663</v>
      </c>
      <c r="I53" s="16">
        <f t="shared" si="2"/>
        <v>-1.2345679012345734E-2</v>
      </c>
    </row>
    <row r="54" spans="1:9" x14ac:dyDescent="0.3">
      <c r="A54" s="12" t="s">
        <v>8</v>
      </c>
      <c r="B54" s="6">
        <v>45953</v>
      </c>
      <c r="C54">
        <v>53</v>
      </c>
      <c r="D54">
        <v>56</v>
      </c>
      <c r="E54">
        <v>4</v>
      </c>
      <c r="F54">
        <f>F53+E54</f>
        <v>58</v>
      </c>
      <c r="G54" s="24">
        <f t="shared" si="0"/>
        <v>0.69135802469135799</v>
      </c>
      <c r="H54" s="24">
        <f t="shared" si="1"/>
        <v>0.71604938271604934</v>
      </c>
      <c r="I54" s="25">
        <f t="shared" si="2"/>
        <v>2.4691358024691357E-2</v>
      </c>
    </row>
    <row r="55" spans="1:9" x14ac:dyDescent="0.3">
      <c r="A55" s="12" t="s">
        <v>8</v>
      </c>
      <c r="B55" s="6">
        <v>45954</v>
      </c>
      <c r="C55">
        <v>54</v>
      </c>
      <c r="D55">
        <v>57</v>
      </c>
      <c r="E55">
        <v>4</v>
      </c>
      <c r="F55">
        <f>F54+E55</f>
        <v>62</v>
      </c>
      <c r="G55" s="20">
        <f t="shared" si="0"/>
        <v>0.70370370370370372</v>
      </c>
      <c r="H55" s="20">
        <f t="shared" si="1"/>
        <v>0.76543209876543206</v>
      </c>
      <c r="I55" s="18">
        <f t="shared" si="2"/>
        <v>6.1728395061728336E-2</v>
      </c>
    </row>
    <row r="56" spans="1:9" x14ac:dyDescent="0.3">
      <c r="A56" s="12" t="s">
        <v>8</v>
      </c>
      <c r="B56" s="6">
        <v>45955</v>
      </c>
      <c r="C56">
        <v>55</v>
      </c>
      <c r="D56">
        <v>57</v>
      </c>
      <c r="E56">
        <v>1</v>
      </c>
      <c r="F56">
        <f t="shared" ref="F56:F76" si="6">F55+E56</f>
        <v>63</v>
      </c>
      <c r="G56" s="19">
        <f t="shared" si="0"/>
        <v>0.70370370370370372</v>
      </c>
      <c r="H56" s="19">
        <f t="shared" si="1"/>
        <v>0.77777777777777779</v>
      </c>
      <c r="I56" s="16">
        <f t="shared" si="2"/>
        <v>7.407407407407407E-2</v>
      </c>
    </row>
    <row r="57" spans="1:9" x14ac:dyDescent="0.3">
      <c r="A57" s="12" t="s">
        <v>8</v>
      </c>
      <c r="B57" s="6">
        <v>45956</v>
      </c>
      <c r="C57">
        <v>56</v>
      </c>
      <c r="D57">
        <v>58</v>
      </c>
      <c r="E57">
        <v>1</v>
      </c>
      <c r="F57">
        <f t="shared" si="6"/>
        <v>64</v>
      </c>
      <c r="G57" s="19">
        <f t="shared" si="0"/>
        <v>0.71604938271604934</v>
      </c>
      <c r="H57" s="19">
        <f t="shared" si="1"/>
        <v>0.79012345679012341</v>
      </c>
      <c r="I57" s="16">
        <f t="shared" si="2"/>
        <v>7.407407407407407E-2</v>
      </c>
    </row>
    <row r="58" spans="1:9" x14ac:dyDescent="0.3">
      <c r="A58" s="12" t="s">
        <v>8</v>
      </c>
      <c r="B58" s="6">
        <v>45957</v>
      </c>
      <c r="C58">
        <v>57</v>
      </c>
      <c r="D58">
        <v>59</v>
      </c>
      <c r="E58">
        <v>1</v>
      </c>
      <c r="F58">
        <f t="shared" si="6"/>
        <v>65</v>
      </c>
      <c r="G58" s="19">
        <f t="shared" si="0"/>
        <v>0.72839506172839508</v>
      </c>
      <c r="H58" s="19">
        <f t="shared" si="1"/>
        <v>0.80246913580246915</v>
      </c>
      <c r="I58" s="16">
        <f t="shared" si="2"/>
        <v>7.407407407407407E-2</v>
      </c>
    </row>
    <row r="59" spans="1:9" x14ac:dyDescent="0.3">
      <c r="A59" s="12" t="s">
        <v>8</v>
      </c>
      <c r="B59" s="6">
        <v>45958</v>
      </c>
      <c r="C59">
        <v>58</v>
      </c>
      <c r="D59">
        <v>60</v>
      </c>
      <c r="E59">
        <v>1</v>
      </c>
      <c r="F59">
        <f t="shared" si="6"/>
        <v>66</v>
      </c>
      <c r="G59" s="19">
        <f t="shared" si="0"/>
        <v>0.7407407407407407</v>
      </c>
      <c r="H59" s="19">
        <f t="shared" si="1"/>
        <v>0.81481481481481477</v>
      </c>
      <c r="I59" s="16">
        <f t="shared" si="2"/>
        <v>7.407407407407407E-2</v>
      </c>
    </row>
    <row r="60" spans="1:9" x14ac:dyDescent="0.3">
      <c r="A60" s="12" t="s">
        <v>8</v>
      </c>
      <c r="B60" s="6">
        <v>45959</v>
      </c>
      <c r="C60">
        <v>59</v>
      </c>
      <c r="D60">
        <v>61</v>
      </c>
      <c r="E60">
        <v>1</v>
      </c>
      <c r="F60">
        <f t="shared" si="6"/>
        <v>67</v>
      </c>
      <c r="G60" s="19">
        <f t="shared" si="0"/>
        <v>0.75308641975308643</v>
      </c>
      <c r="H60" s="19">
        <f t="shared" si="1"/>
        <v>0.8271604938271605</v>
      </c>
      <c r="I60" s="16">
        <f t="shared" si="2"/>
        <v>7.407407407407407E-2</v>
      </c>
    </row>
    <row r="61" spans="1:9" x14ac:dyDescent="0.3">
      <c r="A61" s="12" t="s">
        <v>8</v>
      </c>
      <c r="B61" s="6">
        <v>45960</v>
      </c>
      <c r="C61">
        <v>60</v>
      </c>
      <c r="D61">
        <v>62</v>
      </c>
      <c r="E61">
        <v>1</v>
      </c>
      <c r="F61">
        <f t="shared" si="6"/>
        <v>68</v>
      </c>
      <c r="G61" s="19">
        <f t="shared" si="0"/>
        <v>0.76543209876543206</v>
      </c>
      <c r="H61" s="19">
        <f t="shared" si="1"/>
        <v>0.83950617283950613</v>
      </c>
      <c r="I61" s="16">
        <f t="shared" si="2"/>
        <v>7.407407407407407E-2</v>
      </c>
    </row>
    <row r="62" spans="1:9" x14ac:dyDescent="0.3">
      <c r="A62" s="10" t="s">
        <v>8</v>
      </c>
      <c r="B62" s="11">
        <v>45961</v>
      </c>
      <c r="C62" s="9">
        <v>61</v>
      </c>
      <c r="D62" s="9">
        <v>63</v>
      </c>
      <c r="E62" s="9">
        <v>0</v>
      </c>
      <c r="F62" s="9">
        <f t="shared" si="6"/>
        <v>68</v>
      </c>
      <c r="G62" s="20">
        <f t="shared" si="0"/>
        <v>0.77777777777777779</v>
      </c>
      <c r="H62" s="20">
        <f t="shared" si="1"/>
        <v>0.83950617283950613</v>
      </c>
      <c r="I62" s="18">
        <f t="shared" si="2"/>
        <v>6.1728395061728336E-2</v>
      </c>
    </row>
    <row r="63" spans="1:9" x14ac:dyDescent="0.3">
      <c r="A63" s="9" t="s">
        <v>9</v>
      </c>
      <c r="B63" s="2">
        <v>45962</v>
      </c>
      <c r="C63">
        <v>62</v>
      </c>
      <c r="D63">
        <v>64</v>
      </c>
      <c r="E63">
        <v>0</v>
      </c>
      <c r="F63">
        <f t="shared" si="6"/>
        <v>68</v>
      </c>
      <c r="G63" s="19">
        <f t="shared" si="0"/>
        <v>0.79012345679012341</v>
      </c>
      <c r="H63" s="19">
        <f t="shared" si="1"/>
        <v>0.83950617283950613</v>
      </c>
      <c r="I63" s="16">
        <f t="shared" si="2"/>
        <v>4.9382716049382713E-2</v>
      </c>
    </row>
    <row r="64" spans="1:9" x14ac:dyDescent="0.3">
      <c r="A64" s="9" t="s">
        <v>9</v>
      </c>
      <c r="B64" s="2">
        <v>45963</v>
      </c>
      <c r="C64">
        <v>63</v>
      </c>
      <c r="D64">
        <v>65</v>
      </c>
      <c r="E64">
        <v>2</v>
      </c>
      <c r="F64">
        <f t="shared" si="6"/>
        <v>70</v>
      </c>
      <c r="G64" s="19">
        <f t="shared" si="0"/>
        <v>0.80246913580246915</v>
      </c>
      <c r="H64" s="19">
        <f t="shared" si="1"/>
        <v>0.86419753086419748</v>
      </c>
      <c r="I64" s="16">
        <f t="shared" si="2"/>
        <v>6.1728395061728336E-2</v>
      </c>
    </row>
    <row r="65" spans="1:12" x14ac:dyDescent="0.3">
      <c r="A65" s="9" t="s">
        <v>9</v>
      </c>
      <c r="B65" s="2">
        <v>45964</v>
      </c>
      <c r="C65">
        <v>64</v>
      </c>
      <c r="D65">
        <v>65</v>
      </c>
      <c r="E65">
        <v>1</v>
      </c>
      <c r="F65">
        <f t="shared" si="6"/>
        <v>71</v>
      </c>
      <c r="G65" s="19">
        <f t="shared" si="0"/>
        <v>0.80246913580246915</v>
      </c>
      <c r="H65" s="19">
        <f t="shared" si="1"/>
        <v>0.87654320987654322</v>
      </c>
      <c r="I65" s="16">
        <f t="shared" si="2"/>
        <v>7.407407407407407E-2</v>
      </c>
    </row>
    <row r="66" spans="1:12" x14ac:dyDescent="0.3">
      <c r="A66" s="9" t="s">
        <v>9</v>
      </c>
      <c r="B66" s="2">
        <v>45965</v>
      </c>
      <c r="C66">
        <v>65</v>
      </c>
      <c r="D66">
        <v>66</v>
      </c>
      <c r="E66">
        <v>1</v>
      </c>
      <c r="F66">
        <f t="shared" si="6"/>
        <v>72</v>
      </c>
      <c r="G66" s="19">
        <f t="shared" si="0"/>
        <v>0.81481481481481477</v>
      </c>
      <c r="H66" s="19">
        <f t="shared" si="1"/>
        <v>0.88888888888888884</v>
      </c>
      <c r="I66" s="16">
        <f t="shared" si="2"/>
        <v>7.407407407407407E-2</v>
      </c>
    </row>
    <row r="67" spans="1:12" x14ac:dyDescent="0.3">
      <c r="A67" s="9" t="s">
        <v>9</v>
      </c>
      <c r="B67" s="2">
        <v>45966</v>
      </c>
      <c r="C67">
        <v>66</v>
      </c>
      <c r="D67">
        <v>67</v>
      </c>
      <c r="E67">
        <v>2</v>
      </c>
      <c r="F67">
        <f t="shared" si="6"/>
        <v>74</v>
      </c>
      <c r="G67" s="19">
        <f t="shared" ref="G67:G83" si="7">(D67*100%)/81</f>
        <v>0.8271604938271605</v>
      </c>
      <c r="H67" s="19">
        <f t="shared" ref="H67:H83" si="8">(100%*F67)/81</f>
        <v>0.9135802469135802</v>
      </c>
      <c r="I67" s="16">
        <f t="shared" ref="I67:I83" si="9">H67-G67</f>
        <v>8.6419753086419693E-2</v>
      </c>
    </row>
    <row r="68" spans="1:12" x14ac:dyDescent="0.3">
      <c r="A68" s="9" t="s">
        <v>9</v>
      </c>
      <c r="B68" s="2">
        <v>45967</v>
      </c>
      <c r="C68">
        <v>67</v>
      </c>
      <c r="D68">
        <v>67</v>
      </c>
      <c r="E68">
        <v>0</v>
      </c>
      <c r="F68">
        <f t="shared" si="6"/>
        <v>74</v>
      </c>
      <c r="G68" s="19">
        <f t="shared" si="7"/>
        <v>0.8271604938271605</v>
      </c>
      <c r="H68" s="19">
        <f t="shared" si="8"/>
        <v>0.9135802469135802</v>
      </c>
      <c r="I68" s="16">
        <f t="shared" si="9"/>
        <v>8.6419753086419693E-2</v>
      </c>
    </row>
    <row r="69" spans="1:12" x14ac:dyDescent="0.3">
      <c r="A69" s="9" t="s">
        <v>9</v>
      </c>
      <c r="B69" s="2">
        <v>45968</v>
      </c>
      <c r="C69" s="9">
        <v>68</v>
      </c>
      <c r="D69" s="9">
        <v>67</v>
      </c>
      <c r="E69">
        <v>1</v>
      </c>
      <c r="F69">
        <f t="shared" si="6"/>
        <v>75</v>
      </c>
      <c r="G69" s="20">
        <f>(D69*100%)/81</f>
        <v>0.8271604938271605</v>
      </c>
      <c r="H69" s="20">
        <f t="shared" si="8"/>
        <v>0.92592592592592593</v>
      </c>
      <c r="I69" s="18">
        <f t="shared" si="9"/>
        <v>9.8765432098765427E-2</v>
      </c>
    </row>
    <row r="70" spans="1:12" x14ac:dyDescent="0.3">
      <c r="A70" s="9" t="s">
        <v>9</v>
      </c>
      <c r="B70" s="2">
        <v>45969</v>
      </c>
      <c r="C70">
        <v>69</v>
      </c>
      <c r="D70">
        <v>68</v>
      </c>
      <c r="E70">
        <v>0</v>
      </c>
      <c r="F70">
        <f t="shared" si="6"/>
        <v>75</v>
      </c>
      <c r="G70" s="19">
        <f t="shared" si="7"/>
        <v>0.83950617283950613</v>
      </c>
      <c r="H70" s="19">
        <f t="shared" si="8"/>
        <v>0.92592592592592593</v>
      </c>
      <c r="I70" s="16">
        <f t="shared" si="9"/>
        <v>8.6419753086419804E-2</v>
      </c>
    </row>
    <row r="71" spans="1:12" x14ac:dyDescent="0.3">
      <c r="A71" s="9" t="s">
        <v>9</v>
      </c>
      <c r="B71" s="2">
        <v>45970</v>
      </c>
      <c r="C71">
        <v>70</v>
      </c>
      <c r="D71">
        <v>69</v>
      </c>
      <c r="E71">
        <v>1</v>
      </c>
      <c r="F71">
        <f t="shared" si="6"/>
        <v>76</v>
      </c>
      <c r="G71" s="19">
        <f t="shared" si="7"/>
        <v>0.85185185185185186</v>
      </c>
      <c r="H71" s="19">
        <f t="shared" si="8"/>
        <v>0.93827160493827155</v>
      </c>
      <c r="I71" s="16">
        <f t="shared" si="9"/>
        <v>8.6419753086419693E-2</v>
      </c>
    </row>
    <row r="72" spans="1:12" x14ac:dyDescent="0.3">
      <c r="A72" s="9" t="s">
        <v>9</v>
      </c>
      <c r="B72" s="2">
        <v>45971</v>
      </c>
      <c r="C72">
        <v>71</v>
      </c>
      <c r="D72">
        <v>70</v>
      </c>
      <c r="E72">
        <v>0</v>
      </c>
      <c r="F72">
        <f t="shared" si="6"/>
        <v>76</v>
      </c>
      <c r="G72" s="19">
        <f t="shared" si="7"/>
        <v>0.86419753086419748</v>
      </c>
      <c r="H72" s="19">
        <f t="shared" si="8"/>
        <v>0.93827160493827155</v>
      </c>
      <c r="I72" s="16">
        <f t="shared" si="9"/>
        <v>7.407407407407407E-2</v>
      </c>
    </row>
    <row r="73" spans="1:12" x14ac:dyDescent="0.3">
      <c r="A73" s="9" t="s">
        <v>9</v>
      </c>
      <c r="B73" s="2">
        <v>45972</v>
      </c>
      <c r="C73">
        <v>72</v>
      </c>
      <c r="D73">
        <v>71</v>
      </c>
      <c r="E73">
        <v>2</v>
      </c>
      <c r="F73">
        <f t="shared" si="6"/>
        <v>78</v>
      </c>
      <c r="G73" s="19">
        <f t="shared" si="7"/>
        <v>0.87654320987654322</v>
      </c>
      <c r="H73" s="19">
        <f t="shared" si="8"/>
        <v>0.96296296296296291</v>
      </c>
      <c r="I73" s="16">
        <f t="shared" si="9"/>
        <v>8.6419753086419693E-2</v>
      </c>
    </row>
    <row r="74" spans="1:12" x14ac:dyDescent="0.3">
      <c r="A74" s="9" t="s">
        <v>9</v>
      </c>
      <c r="B74" s="2">
        <v>45973</v>
      </c>
      <c r="C74">
        <v>73</v>
      </c>
      <c r="D74">
        <v>72</v>
      </c>
      <c r="E74">
        <v>1</v>
      </c>
      <c r="F74">
        <f t="shared" si="6"/>
        <v>79</v>
      </c>
      <c r="G74" s="19">
        <f t="shared" si="7"/>
        <v>0.88888888888888884</v>
      </c>
      <c r="H74" s="19">
        <f t="shared" si="8"/>
        <v>0.97530864197530864</v>
      </c>
      <c r="I74" s="16">
        <f t="shared" si="9"/>
        <v>8.6419753086419804E-2</v>
      </c>
    </row>
    <row r="75" spans="1:12" x14ac:dyDescent="0.3">
      <c r="A75" s="9" t="s">
        <v>9</v>
      </c>
      <c r="B75" s="2">
        <v>45974</v>
      </c>
      <c r="C75">
        <v>74</v>
      </c>
      <c r="D75">
        <v>72</v>
      </c>
      <c r="E75">
        <v>1</v>
      </c>
      <c r="F75">
        <f t="shared" si="6"/>
        <v>80</v>
      </c>
      <c r="G75" s="19">
        <f t="shared" si="7"/>
        <v>0.88888888888888884</v>
      </c>
      <c r="H75" s="19">
        <f t="shared" si="8"/>
        <v>0.98765432098765427</v>
      </c>
      <c r="I75" s="16">
        <f t="shared" si="9"/>
        <v>9.8765432098765427E-2</v>
      </c>
    </row>
    <row r="76" spans="1:12" ht="21" x14ac:dyDescent="0.4">
      <c r="A76" s="9" t="s">
        <v>9</v>
      </c>
      <c r="B76" s="2">
        <v>45975</v>
      </c>
      <c r="C76" s="9">
        <v>75</v>
      </c>
      <c r="D76" s="9">
        <v>73</v>
      </c>
      <c r="E76" s="9">
        <v>2</v>
      </c>
      <c r="F76" s="9">
        <f t="shared" si="6"/>
        <v>82</v>
      </c>
      <c r="G76" s="20">
        <f t="shared" si="7"/>
        <v>0.90123456790123457</v>
      </c>
      <c r="H76" s="20">
        <f t="shared" si="8"/>
        <v>1.0123456790123457</v>
      </c>
      <c r="I76" s="18">
        <f t="shared" si="9"/>
        <v>0.11111111111111116</v>
      </c>
      <c r="J76" s="27" t="s">
        <v>14</v>
      </c>
      <c r="K76" s="27"/>
      <c r="L76" s="28"/>
    </row>
    <row r="77" spans="1:12" x14ac:dyDescent="0.3">
      <c r="A77" s="9" t="s">
        <v>9</v>
      </c>
      <c r="B77" s="26">
        <v>45976</v>
      </c>
      <c r="C77" s="21">
        <v>76</v>
      </c>
      <c r="D77" s="21">
        <v>75</v>
      </c>
      <c r="E77" s="21"/>
      <c r="F77" s="21"/>
      <c r="G77" s="22">
        <f t="shared" si="7"/>
        <v>0.92592592592592593</v>
      </c>
      <c r="H77" s="22">
        <f t="shared" si="8"/>
        <v>0</v>
      </c>
      <c r="I77" s="23">
        <f t="shared" si="9"/>
        <v>-0.92592592592592593</v>
      </c>
    </row>
    <row r="78" spans="1:12" x14ac:dyDescent="0.3">
      <c r="A78" s="9" t="s">
        <v>9</v>
      </c>
      <c r="B78" s="2">
        <v>45977</v>
      </c>
      <c r="C78">
        <v>77</v>
      </c>
      <c r="D78">
        <v>76</v>
      </c>
      <c r="G78" s="19">
        <f t="shared" si="7"/>
        <v>0.93827160493827155</v>
      </c>
      <c r="H78" s="19">
        <f t="shared" si="8"/>
        <v>0</v>
      </c>
      <c r="I78" s="16">
        <f t="shared" si="9"/>
        <v>-0.93827160493827155</v>
      </c>
    </row>
    <row r="79" spans="1:12" x14ac:dyDescent="0.3">
      <c r="A79" s="9" t="s">
        <v>9</v>
      </c>
      <c r="B79" s="2">
        <v>45978</v>
      </c>
      <c r="C79">
        <v>78</v>
      </c>
      <c r="D79">
        <v>77</v>
      </c>
      <c r="G79" s="19">
        <f t="shared" si="7"/>
        <v>0.95061728395061729</v>
      </c>
      <c r="H79" s="19">
        <f t="shared" si="8"/>
        <v>0</v>
      </c>
      <c r="I79" s="16">
        <f t="shared" si="9"/>
        <v>-0.95061728395061729</v>
      </c>
    </row>
    <row r="80" spans="1:12" x14ac:dyDescent="0.3">
      <c r="A80" s="9" t="s">
        <v>9</v>
      </c>
      <c r="B80" s="2">
        <v>45979</v>
      </c>
      <c r="C80">
        <v>79</v>
      </c>
      <c r="D80">
        <v>78</v>
      </c>
      <c r="G80" s="19">
        <f t="shared" si="7"/>
        <v>0.96296296296296291</v>
      </c>
      <c r="H80" s="19">
        <f t="shared" si="8"/>
        <v>0</v>
      </c>
      <c r="I80" s="16">
        <f t="shared" si="9"/>
        <v>-0.96296296296296291</v>
      </c>
    </row>
    <row r="81" spans="1:9" x14ac:dyDescent="0.3">
      <c r="A81" s="9" t="s">
        <v>9</v>
      </c>
      <c r="B81" s="2">
        <v>45980</v>
      </c>
      <c r="C81">
        <v>80</v>
      </c>
      <c r="D81">
        <v>79</v>
      </c>
      <c r="G81" s="19">
        <f t="shared" si="7"/>
        <v>0.97530864197530864</v>
      </c>
      <c r="H81" s="19">
        <f t="shared" si="8"/>
        <v>0</v>
      </c>
      <c r="I81" s="16">
        <f t="shared" si="9"/>
        <v>-0.97530864197530864</v>
      </c>
    </row>
    <row r="82" spans="1:9" x14ac:dyDescent="0.3">
      <c r="A82" s="9" t="s">
        <v>9</v>
      </c>
      <c r="B82" s="2">
        <v>45981</v>
      </c>
      <c r="C82">
        <v>81</v>
      </c>
      <c r="D82">
        <v>80</v>
      </c>
      <c r="G82" s="19">
        <f t="shared" si="7"/>
        <v>0.98765432098765427</v>
      </c>
      <c r="H82" s="19">
        <f t="shared" si="8"/>
        <v>0</v>
      </c>
      <c r="I82" s="16">
        <f t="shared" si="9"/>
        <v>-0.98765432098765427</v>
      </c>
    </row>
    <row r="83" spans="1:9" x14ac:dyDescent="0.3">
      <c r="A83" s="9" t="s">
        <v>9</v>
      </c>
      <c r="B83" s="2">
        <v>45982</v>
      </c>
      <c r="C83">
        <v>82</v>
      </c>
      <c r="D83">
        <v>81</v>
      </c>
      <c r="G83" s="19">
        <f t="shared" si="7"/>
        <v>1</v>
      </c>
      <c r="H83" s="19">
        <f t="shared" si="8"/>
        <v>0</v>
      </c>
      <c r="I83" s="16">
        <f t="shared" si="9"/>
        <v>-1</v>
      </c>
    </row>
  </sheetData>
  <phoneticPr fontId="3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14.11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</dc:creator>
  <cp:lastModifiedBy>GONZALO ESTEBAN TRONCOSO CORTES</cp:lastModifiedBy>
  <dcterms:created xsi:type="dcterms:W3CDTF">2025-10-01T03:24:09Z</dcterms:created>
  <dcterms:modified xsi:type="dcterms:W3CDTF">2025-11-21T03:14:21Z</dcterms:modified>
</cp:coreProperties>
</file>