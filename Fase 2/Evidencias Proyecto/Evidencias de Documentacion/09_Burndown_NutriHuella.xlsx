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\Documents\00 DUOC\portafolioo de titulo\burdonw\01 para subir\"/>
    </mc:Choice>
  </mc:AlternateContent>
  <xr:revisionPtr revIDLastSave="0" documentId="13_ncr:1_{D5D820D1-B391-48B6-A827-7FB057D527CE}" xr6:coauthVersionLast="47" xr6:coauthVersionMax="47" xr10:uidLastSave="{00000000-0000-0000-0000-000000000000}"/>
  <bookViews>
    <workbookView xWindow="19090" yWindow="-110" windowWidth="25820" windowHeight="13900" activeTab="1" xr2:uid="{00000000-000D-0000-FFFF-FFFF00000000}"/>
  </bookViews>
  <sheets>
    <sheet name="Sprint 1 – Inicio &amp; planificaci" sheetId="2" r:id="rId1"/>
    <sheet name="Sprint 2 – Autenticación + Fich" sheetId="3" r:id="rId2"/>
    <sheet name="Sprint 3 – Despensa" sheetId="4" r:id="rId3"/>
    <sheet name="Sprint 4 – IA Nutricional" sheetId="5" r:id="rId4"/>
    <sheet name="Sprint 5 – Metricas" sheetId="6" r:id="rId5"/>
    <sheet name="Sprint 6 – Reporte y cierr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F10" i="7"/>
  <c r="F11" i="7"/>
  <c r="F12" i="7"/>
  <c r="F13" i="7" s="1"/>
  <c r="F14" i="7" s="1"/>
  <c r="F15" i="7" s="1"/>
  <c r="E10" i="7"/>
  <c r="E11" i="7"/>
  <c r="E12" i="7" s="1"/>
  <c r="E13" i="7" s="1"/>
  <c r="E14" i="7" s="1"/>
  <c r="E3" i="7"/>
  <c r="F3" i="7" l="1"/>
  <c r="F4" i="7" s="1"/>
  <c r="F5" i="7" s="1"/>
  <c r="F6" i="7" s="1"/>
  <c r="F7" i="7" s="1"/>
  <c r="F8" i="7" s="1"/>
  <c r="F9" i="7" s="1"/>
  <c r="E4" i="7"/>
  <c r="E5" i="7" s="1"/>
  <c r="E6" i="7" s="1"/>
  <c r="E7" i="7" s="1"/>
  <c r="E8" i="7" s="1"/>
  <c r="E9" i="7" s="1"/>
  <c r="F3" i="6" l="1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3" i="5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D18" i="5" l="1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I32" i="5"/>
</calcChain>
</file>

<file path=xl/sharedStrings.xml><?xml version="1.0" encoding="utf-8"?>
<sst xmlns="http://schemas.openxmlformats.org/spreadsheetml/2006/main" count="38" uniqueCount="6">
  <si>
    <t>Día</t>
  </si>
  <si>
    <t>Fecha</t>
  </si>
  <si>
    <t>Tareas pendientes ideal</t>
  </si>
  <si>
    <t>Tareas completadas diaria</t>
  </si>
  <si>
    <t>Tareas actuales pendientes</t>
  </si>
  <si>
    <t>Tareas completadas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</si>
</sst>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8E2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0" xfId="0" applyFill="1"/>
    <xf numFmtId="165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4" borderId="0" xfId="0" applyNumberFormat="1" applyFill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E2CC"/>
      <color rgb="FFE5F9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1 – Inicio &amp; planificacion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Tareas diarias completadas</c:v>
          </c:tx>
          <c:invertIfNegative val="0"/>
          <c:cat>
            <c:numRef>
              <c:f>'Sprint 1 – Inicio &amp; planificaci'!$C$3:$C$7</c:f>
              <c:numCache>
                <c:formatCode>dd\/mm\/yyyy;@</c:formatCode>
                <c:ptCount val="5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</c:numCache>
            </c:numRef>
          </c:cat>
          <c:val>
            <c:numRef>
              <c:f>'Sprint 1 – Inicio &amp; planificaci'!$E$3:$E$7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9-4BAD-A090-2F2F59EB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lineChart>
        <c:grouping val="standard"/>
        <c:varyColors val="0"/>
        <c:ser>
          <c:idx val="1"/>
          <c:order val="1"/>
          <c:tx>
            <c:v>Tareas pendientes ideal</c:v>
          </c:tx>
          <c:marker>
            <c:symbol val="none"/>
          </c:marker>
          <c:cat>
            <c:numRef>
              <c:f>'Sprint 1 – Inicio &amp; planificaci'!$B$3:$B$7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1 – Inicio &amp; planificaci'!$D$3:$D$7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9-4BAD-A090-2F2F59EB01C4}"/>
            </c:ext>
          </c:extLst>
        </c:ser>
        <c:ser>
          <c:idx val="2"/>
          <c:order val="2"/>
          <c:tx>
            <c:v>Tareas actuales pendientes</c:v>
          </c:tx>
          <c:marker>
            <c:symbol val="circle"/>
            <c:size val="5"/>
          </c:marker>
          <c:cat>
            <c:numRef>
              <c:f>'Sprint 1 – Inicio &amp; planificaci'!$B$3:$B$7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1 – Inicio &amp; planificaci'!$F$3:$F$7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89-4BAD-A090-2F2F59EB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overlay val="0"/>
        </c:title>
        <c:numFmt formatCode="dd\/mm\/yyyy;@" sourceLinked="1"/>
        <c:majorTickMark val="out"/>
        <c:minorTickMark val="none"/>
        <c:tickLblPos val="nextTo"/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Tareas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7.1285214348206477E-2"/>
          <c:y val="0.92330282361201677"/>
          <c:w val="0.86483683289588797"/>
          <c:h val="5.75888961332062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2 – Autenticación + Fich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Tareas diarias completadas</c:v>
          </c:tx>
          <c:invertIfNegative val="0"/>
          <c:cat>
            <c:numRef>
              <c:f>'Sprint 2 – Autenticación + Fich'!$B$2:$B$13</c:f>
              <c:numCache>
                <c:formatCode>m/d/yyyy</c:formatCode>
                <c:ptCount val="12"/>
                <c:pt idx="0">
                  <c:v>45908</c:v>
                </c:pt>
                <c:pt idx="1">
                  <c:v>45909</c:v>
                </c:pt>
                <c:pt idx="2">
                  <c:v>45910</c:v>
                </c:pt>
                <c:pt idx="3">
                  <c:v>45911</c:v>
                </c:pt>
                <c:pt idx="4">
                  <c:v>45912</c:v>
                </c:pt>
                <c:pt idx="5">
                  <c:v>45913</c:v>
                </c:pt>
                <c:pt idx="6">
                  <c:v>45914</c:v>
                </c:pt>
                <c:pt idx="7">
                  <c:v>45915</c:v>
                </c:pt>
                <c:pt idx="8">
                  <c:v>45916</c:v>
                </c:pt>
                <c:pt idx="9">
                  <c:v>45917</c:v>
                </c:pt>
                <c:pt idx="10">
                  <c:v>45918</c:v>
                </c:pt>
                <c:pt idx="11">
                  <c:v>45919</c:v>
                </c:pt>
              </c:numCache>
            </c:numRef>
          </c:cat>
          <c:val>
            <c:numRef>
              <c:f>'Sprint 2 – Autenticación + Fich'!$D$2:$D$13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E-4DEF-AD33-7742D67F9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lineChart>
        <c:grouping val="standard"/>
        <c:varyColors val="0"/>
        <c:ser>
          <c:idx val="1"/>
          <c:order val="1"/>
          <c:tx>
            <c:v>Tareas pendientes ideal</c:v>
          </c:tx>
          <c:marker>
            <c:symbol val="none"/>
          </c:marker>
          <c:cat>
            <c:numRef>
              <c:f>'Sprint 2 – Autenticación + Fich'!$A$2:$A$13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'Sprint 2 – Autenticación + Fich'!$C$2:$C$13</c:f>
              <c:numCache>
                <c:formatCode>General</c:formatCode>
                <c:ptCount val="12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E-4DEF-AD33-7742D67F93A1}"/>
            </c:ext>
          </c:extLst>
        </c:ser>
        <c:ser>
          <c:idx val="2"/>
          <c:order val="2"/>
          <c:tx>
            <c:v>Tareas actuales pendientes</c:v>
          </c:tx>
          <c:marker>
            <c:symbol val="circle"/>
            <c:size val="5"/>
          </c:marker>
          <c:cat>
            <c:numRef>
              <c:f>'Sprint 2 – Autenticación + Fich'!$A$2:$A$13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'Sprint 2 – Autenticación + Fich'!$E$2:$E$13</c:f>
              <c:numCache>
                <c:formatCode>General</c:formatCode>
                <c:ptCount val="12"/>
                <c:pt idx="0">
                  <c:v>20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15</c:v>
                </c:pt>
                <c:pt idx="8">
                  <c:v>13</c:v>
                </c:pt>
                <c:pt idx="9">
                  <c:v>9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6E-4DEF-AD33-7742D67F9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30002"/>
        <c:crosses val="autoZero"/>
        <c:auto val="1"/>
        <c:lblOffset val="100"/>
        <c:baseTimeUnit val="days"/>
      </c:date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Tareas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3 – Despensa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Tareas diarias completadas</c:v>
          </c:tx>
          <c:invertIfNegative val="0"/>
          <c:cat>
            <c:numRef>
              <c:f>'Sprint 3 – Despensa'!$B$2:$B$13</c:f>
              <c:numCache>
                <c:formatCode>m/d/yyyy</c:formatCode>
                <c:ptCount val="12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</c:numCache>
            </c:numRef>
          </c:cat>
          <c:val>
            <c:numRef>
              <c:f>'Sprint 3 – Despensa'!$D$2:$D$13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C-44A1-A792-C43B2A330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lineChart>
        <c:grouping val="standard"/>
        <c:varyColors val="0"/>
        <c:ser>
          <c:idx val="1"/>
          <c:order val="1"/>
          <c:tx>
            <c:v>Tareas pendientes ideal</c:v>
          </c:tx>
          <c:marker>
            <c:symbol val="none"/>
          </c:marker>
          <c:cat>
            <c:numRef>
              <c:f>'Sprint 3 – Despensa'!$A$2:$A$13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'Sprint 3 – Despensa'!$C$2:$C$13</c:f>
              <c:numCache>
                <c:formatCode>General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C-44A1-A792-C43B2A33060D}"/>
            </c:ext>
          </c:extLst>
        </c:ser>
        <c:ser>
          <c:idx val="2"/>
          <c:order val="2"/>
          <c:tx>
            <c:v>Tareas actuales pendientes</c:v>
          </c:tx>
          <c:marker>
            <c:symbol val="circle"/>
            <c:size val="5"/>
          </c:marker>
          <c:cat>
            <c:numRef>
              <c:f>'Sprint 3 – Despensa'!$A$2:$A$13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'Sprint 3 – Despensa'!$E$2:$E$13</c:f>
              <c:numCache>
                <c:formatCode>General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3C-44A1-A792-C43B2A330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40002"/>
        <c:crosses val="autoZero"/>
        <c:auto val="1"/>
        <c:lblOffset val="100"/>
        <c:baseTimeUnit val="days"/>
      </c:date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Tareas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4 – IA Nutricional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4 – IA Nutricional'!$D$1</c:f>
              <c:strCache>
                <c:ptCount val="1"/>
                <c:pt idx="0">
                  <c:v>Tareas completadas diaria</c:v>
                </c:pt>
              </c:strCache>
            </c:strRef>
          </c:tx>
          <c:invertIfNegative val="0"/>
          <c:cat>
            <c:numRef>
              <c:f>'Sprint 4 – IA Nutricional'!$B$2:$B$15</c:f>
              <c:numCache>
                <c:formatCode>m/d/yyyy</c:formatCode>
                <c:ptCount val="14"/>
                <c:pt idx="0">
                  <c:v>45934</c:v>
                </c:pt>
                <c:pt idx="1">
                  <c:v>45935</c:v>
                </c:pt>
                <c:pt idx="2">
                  <c:v>45936</c:v>
                </c:pt>
                <c:pt idx="3">
                  <c:v>45937</c:v>
                </c:pt>
                <c:pt idx="4">
                  <c:v>45938</c:v>
                </c:pt>
                <c:pt idx="5">
                  <c:v>45939</c:v>
                </c:pt>
                <c:pt idx="6">
                  <c:v>45940</c:v>
                </c:pt>
                <c:pt idx="7">
                  <c:v>45941</c:v>
                </c:pt>
                <c:pt idx="8">
                  <c:v>45942</c:v>
                </c:pt>
                <c:pt idx="9">
                  <c:v>45943</c:v>
                </c:pt>
                <c:pt idx="10">
                  <c:v>45944</c:v>
                </c:pt>
                <c:pt idx="11">
                  <c:v>45945</c:v>
                </c:pt>
                <c:pt idx="12">
                  <c:v>45946</c:v>
                </c:pt>
                <c:pt idx="13">
                  <c:v>45947</c:v>
                </c:pt>
              </c:numCache>
            </c:numRef>
          </c:cat>
          <c:val>
            <c:numRef>
              <c:f>'Sprint 4 – IA Nutricional'!$D$2:$D$15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D-44C1-BF40-43E1D445A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lineChart>
        <c:grouping val="standard"/>
        <c:varyColors val="0"/>
        <c:ser>
          <c:idx val="1"/>
          <c:order val="1"/>
          <c:tx>
            <c:strRef>
              <c:f>'Sprint 4 – IA Nutricional'!$C$1</c:f>
              <c:strCache>
                <c:ptCount val="1"/>
                <c:pt idx="0">
                  <c:v>Tareas pendientes ideal</c:v>
                </c:pt>
              </c:strCache>
            </c:strRef>
          </c:tx>
          <c:marker>
            <c:symbol val="none"/>
          </c:marker>
          <c:cat>
            <c:numRef>
              <c:f>'Sprint 4 – IA Nutricional'!$A$2:$A$13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'Sprint 4 – IA Nutricional'!$C$2:$C$15</c:f>
              <c:numCache>
                <c:formatCode>General</c:formatCode>
                <c:ptCount val="14"/>
                <c:pt idx="0">
                  <c:v>18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D-44C1-BF40-43E1D445A321}"/>
            </c:ext>
          </c:extLst>
        </c:ser>
        <c:ser>
          <c:idx val="2"/>
          <c:order val="2"/>
          <c:tx>
            <c:strRef>
              <c:f>'Sprint 4 – IA Nutricional'!$E$1</c:f>
              <c:strCache>
                <c:ptCount val="1"/>
                <c:pt idx="0">
                  <c:v>Tareas actuales pendientes</c:v>
                </c:pt>
              </c:strCache>
            </c:strRef>
          </c:tx>
          <c:marker>
            <c:symbol val="circle"/>
            <c:size val="5"/>
          </c:marker>
          <c:cat>
            <c:numRef>
              <c:f>'Sprint 4 – IA Nutricional'!$A$2:$A$13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'Sprint 4 – IA Nutricional'!$E$2:$E$15</c:f>
              <c:numCache>
                <c:formatCode>General</c:formatCode>
                <c:ptCount val="14"/>
                <c:pt idx="0">
                  <c:v>18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15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FD-44C1-BF40-43E1D445A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Tareas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5 – Metricas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5 – Metricas'!$D$1</c:f>
              <c:strCache>
                <c:ptCount val="1"/>
                <c:pt idx="0">
                  <c:v>Tareas completadas diaria</c:v>
                </c:pt>
              </c:strCache>
            </c:strRef>
          </c:tx>
          <c:invertIfNegative val="0"/>
          <c:cat>
            <c:numRef>
              <c:f>'Sprint 5 – Metricas'!$B$2:$B$15</c:f>
              <c:numCache>
                <c:formatCode>m/d/yyyy</c:formatCode>
                <c:ptCount val="14"/>
                <c:pt idx="0">
                  <c:v>45948</c:v>
                </c:pt>
                <c:pt idx="1">
                  <c:v>45949</c:v>
                </c:pt>
                <c:pt idx="2">
                  <c:v>45950</c:v>
                </c:pt>
                <c:pt idx="3">
                  <c:v>45951</c:v>
                </c:pt>
                <c:pt idx="4">
                  <c:v>45952</c:v>
                </c:pt>
                <c:pt idx="5">
                  <c:v>45953</c:v>
                </c:pt>
                <c:pt idx="6">
                  <c:v>45954</c:v>
                </c:pt>
                <c:pt idx="7">
                  <c:v>45955</c:v>
                </c:pt>
                <c:pt idx="8">
                  <c:v>45956</c:v>
                </c:pt>
                <c:pt idx="9">
                  <c:v>45957</c:v>
                </c:pt>
                <c:pt idx="10">
                  <c:v>45958</c:v>
                </c:pt>
                <c:pt idx="11">
                  <c:v>45959</c:v>
                </c:pt>
                <c:pt idx="12">
                  <c:v>45960</c:v>
                </c:pt>
                <c:pt idx="13">
                  <c:v>45961</c:v>
                </c:pt>
              </c:numCache>
            </c:numRef>
          </c:cat>
          <c:val>
            <c:numRef>
              <c:f>'Sprint 5 – Metricas'!$D$2:$D$15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C-46B6-88AA-5B6344FB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lineChart>
        <c:grouping val="standard"/>
        <c:varyColors val="0"/>
        <c:ser>
          <c:idx val="1"/>
          <c:order val="1"/>
          <c:tx>
            <c:strRef>
              <c:f>'Sprint 5 – Metricas'!$C$1</c:f>
              <c:strCache>
                <c:ptCount val="1"/>
                <c:pt idx="0">
                  <c:v>Tareas pendientes ideal</c:v>
                </c:pt>
              </c:strCache>
            </c:strRef>
          </c:tx>
          <c:marker>
            <c:symbol val="none"/>
          </c:marker>
          <c:cat>
            <c:numRef>
              <c:f>'Sprint 5 – Metricas'!$A$2:$A$15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5 – Metricas'!$C$2:$C$15</c:f>
              <c:numCache>
                <c:formatCode>General</c:formatCode>
                <c:ptCount val="14"/>
                <c:pt idx="0">
                  <c:v>18</c:v>
                </c:pt>
                <c:pt idx="1">
                  <c:v>18</c:v>
                </c:pt>
                <c:pt idx="2">
                  <c:v>17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C-46B6-88AA-5B6344FB547D}"/>
            </c:ext>
          </c:extLst>
        </c:ser>
        <c:ser>
          <c:idx val="2"/>
          <c:order val="2"/>
          <c:tx>
            <c:strRef>
              <c:f>'Sprint 5 – Metricas'!$E$1</c:f>
              <c:strCache>
                <c:ptCount val="1"/>
                <c:pt idx="0">
                  <c:v>Tareas actuales pendientes</c:v>
                </c:pt>
              </c:strCache>
            </c:strRef>
          </c:tx>
          <c:marker>
            <c:symbol val="circle"/>
            <c:size val="5"/>
          </c:marker>
          <c:cat>
            <c:numRef>
              <c:f>'Sprint 5 – Metricas'!$A$2:$A$15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5 – Metricas'!$E$2:$E$15</c:f>
              <c:numCache>
                <c:formatCode>General</c:formatCode>
                <c:ptCount val="14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2C-46B6-88AA-5B6344FB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60001"/>
        <c:axId val="50060002"/>
      </c:lineChart>
      <c:date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60002"/>
        <c:crosses val="autoZero"/>
        <c:auto val="1"/>
        <c:lblOffset val="100"/>
        <c:baseTimeUnit val="days"/>
      </c:date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Tareas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6 – Reporte y cierre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6 – Reporte y cierre'!$D$1</c:f>
              <c:strCache>
                <c:ptCount val="1"/>
                <c:pt idx="0">
                  <c:v>Tareas completadas diaria</c:v>
                </c:pt>
              </c:strCache>
            </c:strRef>
          </c:tx>
          <c:invertIfNegative val="0"/>
          <c:cat>
            <c:numRef>
              <c:f>'Sprint 6 – Reporte y cierre'!$B$2:$B$15</c:f>
              <c:numCache>
                <c:formatCode>m/d/yyyy</c:formatCode>
                <c:ptCount val="14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</c:numCache>
            </c:numRef>
          </c:cat>
          <c:val>
            <c:numRef>
              <c:f>'Sprint 6 – Reporte y cierre'!$D$2:$D$15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0-4BEE-881C-30F3664E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lineChart>
        <c:grouping val="standard"/>
        <c:varyColors val="0"/>
        <c:ser>
          <c:idx val="1"/>
          <c:order val="1"/>
          <c:tx>
            <c:strRef>
              <c:f>'Sprint 6 – Reporte y cierre'!$C$1</c:f>
              <c:strCache>
                <c:ptCount val="1"/>
                <c:pt idx="0">
                  <c:v>Tareas pendientes ideal</c:v>
                </c:pt>
              </c:strCache>
            </c:strRef>
          </c:tx>
          <c:marker>
            <c:symbol val="none"/>
          </c:marker>
          <c:cat>
            <c:numRef>
              <c:f>'Sprint 6 – Reporte y cierre'!$B$2:$B$15</c:f>
              <c:numCache>
                <c:formatCode>m/d/yyyy</c:formatCode>
                <c:ptCount val="14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</c:numCache>
            </c:numRef>
          </c:cat>
          <c:val>
            <c:numRef>
              <c:f>'Sprint 6 – Reporte y cierre'!$C$2:$C$15</c:f>
              <c:numCache>
                <c:formatCode>General</c:formatCode>
                <c:ptCount val="14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0-4BEE-881C-30F3664EEE26}"/>
            </c:ext>
          </c:extLst>
        </c:ser>
        <c:ser>
          <c:idx val="2"/>
          <c:order val="2"/>
          <c:tx>
            <c:strRef>
              <c:f>'Sprint 6 – Reporte y cierre'!$E$1</c:f>
              <c:strCache>
                <c:ptCount val="1"/>
                <c:pt idx="0">
                  <c:v>Tareas actuales pendientes</c:v>
                </c:pt>
              </c:strCache>
            </c:strRef>
          </c:tx>
          <c:marker>
            <c:symbol val="circle"/>
            <c:size val="5"/>
          </c:marker>
          <c:cat>
            <c:numRef>
              <c:f>'Sprint 6 – Reporte y cierre'!$B$2:$B$15</c:f>
              <c:numCache>
                <c:formatCode>m/d/yyyy</c:formatCode>
                <c:ptCount val="14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</c:numCache>
            </c:numRef>
          </c:cat>
          <c:val>
            <c:numRef>
              <c:f>'Sprint 6 – Reporte y cierre'!$E$2:$E$15</c:f>
              <c:numCache>
                <c:formatCode>General</c:formatCode>
                <c:ptCount val="14"/>
                <c:pt idx="0">
                  <c:v>13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60-4BEE-881C-30F3664E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70001"/>
        <c:axId val="50070002"/>
      </c:lineChart>
      <c:date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70002"/>
        <c:crosses val="autoZero"/>
        <c:auto val="1"/>
        <c:lblOffset val="100"/>
        <c:baseTimeUnit val="days"/>
      </c:date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Tareas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175260</xdr:rowOff>
    </xdr:from>
    <xdr:to>
      <xdr:col>18</xdr:col>
      <xdr:colOff>190500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0</xdr:row>
      <xdr:rowOff>76200</xdr:rowOff>
    </xdr:from>
    <xdr:to>
      <xdr:col>17</xdr:col>
      <xdr:colOff>403860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185697</xdr:rowOff>
    </xdr:from>
    <xdr:to>
      <xdr:col>18</xdr:col>
      <xdr:colOff>152400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18</xdr:col>
      <xdr:colOff>152400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18</xdr:col>
      <xdr:colOff>152400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18</xdr:col>
      <xdr:colOff>152400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workbookViewId="0">
      <selection activeCell="L29" sqref="L29"/>
    </sheetView>
  </sheetViews>
  <sheetFormatPr baseColWidth="10" defaultColWidth="8.88671875" defaultRowHeight="14.4" x14ac:dyDescent="0.3"/>
  <cols>
    <col min="2" max="2" width="6.6640625" customWidth="1"/>
    <col min="3" max="3" width="15" style="4" customWidth="1"/>
    <col min="4" max="4" width="18.44140625" customWidth="1"/>
    <col min="5" max="5" width="18.6640625" customWidth="1"/>
    <col min="6" max="6" width="21" customWidth="1"/>
    <col min="7" max="7" width="20.5546875" customWidth="1"/>
  </cols>
  <sheetData>
    <row r="1" spans="1:20" s="17" customFormat="1" ht="15" thickBot="1" x14ac:dyDescent="0.35">
      <c r="C1" s="18"/>
    </row>
    <row r="2" spans="1:20" ht="28.8" x14ac:dyDescent="0.3">
      <c r="A2" s="17"/>
      <c r="B2" s="7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10" t="s">
        <v>5</v>
      </c>
      <c r="H2" s="17"/>
    </row>
    <row r="3" spans="1:20" x14ac:dyDescent="0.3">
      <c r="A3" s="17"/>
      <c r="B3" s="11">
        <v>1</v>
      </c>
      <c r="C3" s="6">
        <v>45901</v>
      </c>
      <c r="D3" s="5">
        <v>5</v>
      </c>
      <c r="E3" s="5">
        <v>1</v>
      </c>
      <c r="F3" s="5">
        <v>4</v>
      </c>
      <c r="G3" s="12">
        <v>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3">
      <c r="A4" s="17"/>
      <c r="B4" s="11">
        <v>2</v>
      </c>
      <c r="C4" s="6">
        <v>45902</v>
      </c>
      <c r="D4" s="5">
        <v>4</v>
      </c>
      <c r="E4" s="5">
        <v>0</v>
      </c>
      <c r="F4" s="5">
        <v>4</v>
      </c>
      <c r="G4" s="12">
        <v>1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x14ac:dyDescent="0.3">
      <c r="A5" s="17"/>
      <c r="B5" s="11">
        <v>3</v>
      </c>
      <c r="C5" s="6">
        <v>45903</v>
      </c>
      <c r="D5" s="5">
        <v>3</v>
      </c>
      <c r="E5" s="5">
        <v>1</v>
      </c>
      <c r="F5" s="5">
        <v>3</v>
      </c>
      <c r="G5" s="12">
        <v>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x14ac:dyDescent="0.3">
      <c r="A6" s="17"/>
      <c r="B6" s="11">
        <v>4</v>
      </c>
      <c r="C6" s="6">
        <v>45904</v>
      </c>
      <c r="D6" s="5">
        <v>2</v>
      </c>
      <c r="E6" s="5">
        <v>2</v>
      </c>
      <c r="F6" s="5">
        <v>1</v>
      </c>
      <c r="G6" s="12">
        <v>4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15" thickBot="1" x14ac:dyDescent="0.35">
      <c r="A7" s="17"/>
      <c r="B7" s="13">
        <v>5</v>
      </c>
      <c r="C7" s="14">
        <v>45905</v>
      </c>
      <c r="D7" s="15">
        <v>0</v>
      </c>
      <c r="E7" s="15">
        <v>1</v>
      </c>
      <c r="F7" s="15">
        <v>0</v>
      </c>
      <c r="G7" s="16">
        <v>5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x14ac:dyDescent="0.3">
      <c r="A8" s="17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x14ac:dyDescent="0.3"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x14ac:dyDescent="0.3"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 x14ac:dyDescent="0.3"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x14ac:dyDescent="0.3"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x14ac:dyDescent="0.3"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x14ac:dyDescent="0.3"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x14ac:dyDescent="0.3"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x14ac:dyDescent="0.3"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8:20" x14ac:dyDescent="0.3"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8:20" x14ac:dyDescent="0.3"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8:20" x14ac:dyDescent="0.3"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8:20" x14ac:dyDescent="0.3"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8:20" x14ac:dyDescent="0.3"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8:20" x14ac:dyDescent="0.3"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8:20" x14ac:dyDescent="0.3"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8:20" x14ac:dyDescent="0.3"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8:20" x14ac:dyDescent="0.3"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8:20" x14ac:dyDescent="0.3"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8:20" x14ac:dyDescent="0.3"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tabSelected="1" zoomScale="80" zoomScaleNormal="80" workbookViewId="0">
      <selection activeCell="F28" sqref="F28"/>
    </sheetView>
  </sheetViews>
  <sheetFormatPr baseColWidth="10" defaultColWidth="8.88671875" defaultRowHeight="14.4" x14ac:dyDescent="0.3"/>
  <cols>
    <col min="1" max="1" width="6.6640625" customWidth="1"/>
    <col min="2" max="2" width="19.88671875" style="1" customWidth="1"/>
    <col min="3" max="6" width="28.6640625" customWidth="1"/>
    <col min="7" max="7" width="8.88671875" style="17"/>
    <col min="9" max="9" width="19.21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9" x14ac:dyDescent="0.3">
      <c r="A2">
        <v>1</v>
      </c>
      <c r="B2" s="1">
        <v>45908</v>
      </c>
      <c r="C2">
        <v>19</v>
      </c>
      <c r="D2">
        <v>0</v>
      </c>
      <c r="E2">
        <v>20</v>
      </c>
      <c r="F2">
        <v>0</v>
      </c>
    </row>
    <row r="3" spans="1:19" x14ac:dyDescent="0.3">
      <c r="A3">
        <v>2</v>
      </c>
      <c r="B3" s="1">
        <v>45909</v>
      </c>
      <c r="C3">
        <v>17</v>
      </c>
      <c r="D3">
        <v>1</v>
      </c>
      <c r="E3">
        <v>19</v>
      </c>
      <c r="F3">
        <v>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3">
      <c r="A4">
        <v>3</v>
      </c>
      <c r="B4" s="1">
        <v>45910</v>
      </c>
      <c r="C4">
        <v>15</v>
      </c>
      <c r="D4">
        <v>0</v>
      </c>
      <c r="E4">
        <v>19</v>
      </c>
      <c r="F4">
        <v>1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3">
      <c r="A5">
        <v>4</v>
      </c>
      <c r="B5" s="1">
        <v>45911</v>
      </c>
      <c r="C5">
        <v>14</v>
      </c>
      <c r="D5">
        <v>1</v>
      </c>
      <c r="E5">
        <v>18</v>
      </c>
      <c r="F5">
        <v>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3">
      <c r="A6">
        <v>5</v>
      </c>
      <c r="B6" s="1">
        <v>45912</v>
      </c>
      <c r="C6">
        <v>12</v>
      </c>
      <c r="D6">
        <v>1</v>
      </c>
      <c r="E6">
        <v>17</v>
      </c>
      <c r="F6">
        <v>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3">
      <c r="A7">
        <v>6</v>
      </c>
      <c r="B7" s="1">
        <v>45913</v>
      </c>
      <c r="C7">
        <v>10</v>
      </c>
      <c r="D7">
        <v>0</v>
      </c>
      <c r="E7">
        <v>17</v>
      </c>
      <c r="F7">
        <v>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x14ac:dyDescent="0.3">
      <c r="A8">
        <v>7</v>
      </c>
      <c r="B8" s="1">
        <v>45914</v>
      </c>
      <c r="C8">
        <v>9</v>
      </c>
      <c r="D8">
        <v>0</v>
      </c>
      <c r="E8">
        <v>17</v>
      </c>
      <c r="F8">
        <v>3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3">
      <c r="A9">
        <v>8</v>
      </c>
      <c r="B9" s="1">
        <v>45915</v>
      </c>
      <c r="C9">
        <v>7</v>
      </c>
      <c r="D9">
        <v>2</v>
      </c>
      <c r="E9">
        <v>15</v>
      </c>
      <c r="F9">
        <v>5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3">
      <c r="A10">
        <v>9</v>
      </c>
      <c r="B10" s="1">
        <v>45916</v>
      </c>
      <c r="C10">
        <v>5</v>
      </c>
      <c r="D10">
        <v>2</v>
      </c>
      <c r="E10">
        <v>13</v>
      </c>
      <c r="F10">
        <v>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3">
      <c r="A11">
        <v>10</v>
      </c>
      <c r="B11" s="1">
        <v>45917</v>
      </c>
      <c r="C11">
        <v>4</v>
      </c>
      <c r="D11">
        <v>4</v>
      </c>
      <c r="E11">
        <v>9</v>
      </c>
      <c r="F11">
        <v>11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3">
      <c r="A12">
        <v>11</v>
      </c>
      <c r="B12" s="1">
        <v>45918</v>
      </c>
      <c r="C12">
        <v>2</v>
      </c>
      <c r="D12">
        <v>4</v>
      </c>
      <c r="E12">
        <v>5</v>
      </c>
      <c r="F12">
        <v>15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3">
      <c r="A13">
        <v>12</v>
      </c>
      <c r="B13" s="1">
        <v>45919</v>
      </c>
      <c r="C13">
        <v>0</v>
      </c>
      <c r="D13">
        <v>3</v>
      </c>
      <c r="E13">
        <v>2</v>
      </c>
      <c r="F13">
        <v>18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3"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x14ac:dyDescent="0.3"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3"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8:19" x14ac:dyDescent="0.3"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8:19" x14ac:dyDescent="0.3"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8:19" x14ac:dyDescent="0.3"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8:19" x14ac:dyDescent="0.3"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8:19" x14ac:dyDescent="0.3"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8:19" x14ac:dyDescent="0.3"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8:19" x14ac:dyDescent="0.3"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8:19" x14ac:dyDescent="0.3"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8:19" x14ac:dyDescent="0.3"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8:19" x14ac:dyDescent="0.3"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8" spans="8:19" x14ac:dyDescent="0.3">
      <c r="H28" s="2" t="s">
        <v>0</v>
      </c>
      <c r="I28" s="2" t="s">
        <v>1</v>
      </c>
    </row>
    <row r="29" spans="8:19" x14ac:dyDescent="0.3">
      <c r="H29">
        <v>1</v>
      </c>
      <c r="I29" s="3">
        <v>45908</v>
      </c>
    </row>
    <row r="30" spans="8:19" x14ac:dyDescent="0.3">
      <c r="H30">
        <v>2</v>
      </c>
      <c r="I30" s="3">
        <v>45909</v>
      </c>
    </row>
    <row r="31" spans="8:19" x14ac:dyDescent="0.3">
      <c r="H31">
        <v>3</v>
      </c>
      <c r="I31" s="3">
        <v>45910</v>
      </c>
    </row>
    <row r="32" spans="8:19" x14ac:dyDescent="0.3">
      <c r="H32">
        <v>4</v>
      </c>
      <c r="I32" s="3">
        <v>45911</v>
      </c>
    </row>
    <row r="33" spans="8:9" x14ac:dyDescent="0.3">
      <c r="H33">
        <v>5</v>
      </c>
      <c r="I33" s="3">
        <v>45912</v>
      </c>
    </row>
    <row r="34" spans="8:9" x14ac:dyDescent="0.3">
      <c r="H34">
        <v>6</v>
      </c>
      <c r="I34" s="3">
        <v>45913</v>
      </c>
    </row>
    <row r="35" spans="8:9" x14ac:dyDescent="0.3">
      <c r="H35">
        <v>7</v>
      </c>
      <c r="I35" s="3">
        <v>45914</v>
      </c>
    </row>
    <row r="36" spans="8:9" x14ac:dyDescent="0.3">
      <c r="H36">
        <v>8</v>
      </c>
      <c r="I36" s="3">
        <v>45915</v>
      </c>
    </row>
    <row r="37" spans="8:9" x14ac:dyDescent="0.3">
      <c r="H37">
        <v>9</v>
      </c>
      <c r="I37" s="3">
        <v>45916</v>
      </c>
    </row>
    <row r="38" spans="8:9" x14ac:dyDescent="0.3">
      <c r="H38">
        <v>10</v>
      </c>
      <c r="I38" s="3">
        <v>45917</v>
      </c>
    </row>
    <row r="39" spans="8:9" x14ac:dyDescent="0.3">
      <c r="H39">
        <v>11</v>
      </c>
      <c r="I39" s="3">
        <v>45918</v>
      </c>
    </row>
    <row r="40" spans="8:9" x14ac:dyDescent="0.3">
      <c r="H40">
        <v>12</v>
      </c>
      <c r="I40" s="3">
        <v>45919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zoomScale="87" zoomScaleNormal="70" workbookViewId="0">
      <selection activeCell="F24" sqref="F24"/>
    </sheetView>
  </sheetViews>
  <sheetFormatPr baseColWidth="10" defaultColWidth="8.88671875" defaultRowHeight="14.4" x14ac:dyDescent="0.3"/>
  <cols>
    <col min="1" max="1" width="6.6640625" customWidth="1"/>
    <col min="2" max="2" width="26.21875" style="1" customWidth="1"/>
    <col min="3" max="6" width="28.6640625" customWidth="1"/>
    <col min="9" max="9" width="14.33203125" style="4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9" x14ac:dyDescent="0.3">
      <c r="A2">
        <v>1</v>
      </c>
      <c r="B2" s="1">
        <v>45922</v>
      </c>
      <c r="C2">
        <v>8</v>
      </c>
      <c r="D2">
        <v>0</v>
      </c>
      <c r="E2">
        <v>8</v>
      </c>
      <c r="F2">
        <v>0</v>
      </c>
    </row>
    <row r="3" spans="1:19" x14ac:dyDescent="0.3">
      <c r="A3">
        <v>2</v>
      </c>
      <c r="B3" s="1">
        <v>45923</v>
      </c>
      <c r="C3">
        <v>7</v>
      </c>
      <c r="D3">
        <v>1</v>
      </c>
      <c r="E3">
        <v>7</v>
      </c>
      <c r="F3">
        <v>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3">
      <c r="A4">
        <v>3</v>
      </c>
      <c r="B4" s="1">
        <v>45924</v>
      </c>
      <c r="C4">
        <v>6</v>
      </c>
      <c r="D4">
        <v>0</v>
      </c>
      <c r="E4">
        <v>7</v>
      </c>
      <c r="F4">
        <v>1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3">
      <c r="A5">
        <v>4</v>
      </c>
      <c r="B5" s="1">
        <v>45925</v>
      </c>
      <c r="C5">
        <v>6</v>
      </c>
      <c r="D5">
        <v>1</v>
      </c>
      <c r="E5">
        <v>6</v>
      </c>
      <c r="F5">
        <v>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3">
      <c r="A6">
        <v>5</v>
      </c>
      <c r="B6" s="1">
        <v>45926</v>
      </c>
      <c r="C6">
        <v>5</v>
      </c>
      <c r="D6">
        <v>2</v>
      </c>
      <c r="E6">
        <v>4</v>
      </c>
      <c r="F6">
        <v>4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x14ac:dyDescent="0.3">
      <c r="A7">
        <v>6</v>
      </c>
      <c r="B7" s="1">
        <v>45927</v>
      </c>
      <c r="C7">
        <v>4</v>
      </c>
      <c r="D7">
        <v>0</v>
      </c>
      <c r="E7">
        <v>4</v>
      </c>
      <c r="F7">
        <v>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x14ac:dyDescent="0.3">
      <c r="A8">
        <v>7</v>
      </c>
      <c r="B8" s="1">
        <v>45928</v>
      </c>
      <c r="C8">
        <v>4</v>
      </c>
      <c r="D8">
        <v>1</v>
      </c>
      <c r="E8">
        <v>3</v>
      </c>
      <c r="F8">
        <v>5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x14ac:dyDescent="0.3">
      <c r="A9">
        <v>8</v>
      </c>
      <c r="B9" s="1">
        <v>45929</v>
      </c>
      <c r="C9">
        <v>3</v>
      </c>
      <c r="D9">
        <v>0</v>
      </c>
      <c r="E9">
        <v>3</v>
      </c>
      <c r="F9">
        <v>5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x14ac:dyDescent="0.3">
      <c r="A10">
        <v>9</v>
      </c>
      <c r="B10" s="1">
        <v>45930</v>
      </c>
      <c r="C10">
        <v>2</v>
      </c>
      <c r="D10">
        <v>1</v>
      </c>
      <c r="E10">
        <v>2</v>
      </c>
      <c r="F10">
        <v>6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x14ac:dyDescent="0.3">
      <c r="A11">
        <v>10</v>
      </c>
      <c r="B11" s="1">
        <v>45931</v>
      </c>
      <c r="C11">
        <v>2</v>
      </c>
      <c r="D11">
        <v>0</v>
      </c>
      <c r="E11">
        <v>2</v>
      </c>
      <c r="F11">
        <v>6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x14ac:dyDescent="0.3">
      <c r="A12">
        <v>11</v>
      </c>
      <c r="B12" s="1">
        <v>45932</v>
      </c>
      <c r="C12">
        <v>1</v>
      </c>
      <c r="D12">
        <v>1</v>
      </c>
      <c r="E12">
        <v>1</v>
      </c>
      <c r="F12">
        <v>7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x14ac:dyDescent="0.3">
      <c r="A13">
        <v>12</v>
      </c>
      <c r="B13" s="1">
        <v>45933</v>
      </c>
      <c r="C13">
        <v>0</v>
      </c>
      <c r="D13">
        <v>1</v>
      </c>
      <c r="E13">
        <v>0</v>
      </c>
      <c r="F13">
        <v>8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x14ac:dyDescent="0.3"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x14ac:dyDescent="0.3"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7:19" x14ac:dyDescent="0.3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7:19" x14ac:dyDescent="0.3"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7:19" x14ac:dyDescent="0.3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7:19" x14ac:dyDescent="0.3"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7:19" x14ac:dyDescent="0.3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7:19" x14ac:dyDescent="0.3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7:19" x14ac:dyDescent="0.3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7:19" x14ac:dyDescent="0.3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7:19" x14ac:dyDescent="0.3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7:19" x14ac:dyDescent="0.3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7:19" x14ac:dyDescent="0.3">
      <c r="G27" s="17"/>
      <c r="H27" s="17"/>
      <c r="I27"/>
    </row>
    <row r="28" spans="7:19" x14ac:dyDescent="0.3">
      <c r="G28" s="17"/>
      <c r="H28" s="17"/>
      <c r="I28"/>
    </row>
    <row r="29" spans="7:19" x14ac:dyDescent="0.3">
      <c r="G29" s="17"/>
      <c r="H29" s="17"/>
      <c r="I29"/>
    </row>
    <row r="30" spans="7:19" x14ac:dyDescent="0.3">
      <c r="G30" s="17"/>
      <c r="H30" s="17"/>
      <c r="I30"/>
    </row>
    <row r="31" spans="7:19" x14ac:dyDescent="0.3">
      <c r="G31" s="17"/>
      <c r="H31" s="17"/>
      <c r="I31"/>
    </row>
    <row r="32" spans="7:19" x14ac:dyDescent="0.3">
      <c r="G32" s="17"/>
      <c r="H32" s="17"/>
      <c r="I32"/>
    </row>
    <row r="33" spans="7:10" x14ac:dyDescent="0.3">
      <c r="G33" s="17"/>
      <c r="H33" s="17"/>
      <c r="I33"/>
    </row>
    <row r="34" spans="7:10" x14ac:dyDescent="0.3">
      <c r="G34" s="17"/>
      <c r="H34" s="17"/>
      <c r="I34"/>
    </row>
    <row r="35" spans="7:10" x14ac:dyDescent="0.3">
      <c r="G35" s="17"/>
      <c r="H35" s="17"/>
      <c r="I35"/>
    </row>
    <row r="36" spans="7:10" x14ac:dyDescent="0.3">
      <c r="G36" s="17"/>
      <c r="H36" s="17"/>
      <c r="I36"/>
    </row>
    <row r="37" spans="7:10" x14ac:dyDescent="0.3">
      <c r="G37" s="17"/>
      <c r="H37" s="17"/>
      <c r="I37"/>
    </row>
    <row r="38" spans="7:10" x14ac:dyDescent="0.3">
      <c r="G38" s="17"/>
      <c r="H38" s="17"/>
      <c r="I38"/>
    </row>
    <row r="39" spans="7:10" x14ac:dyDescent="0.3">
      <c r="G39" s="17"/>
      <c r="H39" s="17"/>
      <c r="I39"/>
    </row>
    <row r="40" spans="7:10" x14ac:dyDescent="0.3">
      <c r="G40" s="17"/>
      <c r="H40" s="17"/>
      <c r="I40" s="18"/>
      <c r="J40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2"/>
  <sheetViews>
    <sheetView zoomScale="75" workbookViewId="0">
      <selection activeCell="M37" sqref="M37"/>
    </sheetView>
  </sheetViews>
  <sheetFormatPr baseColWidth="10" defaultColWidth="8.88671875" defaultRowHeight="14.4" x14ac:dyDescent="0.3"/>
  <cols>
    <col min="1" max="1" width="6.6640625" customWidth="1"/>
    <col min="2" max="2" width="21.33203125" style="1" customWidth="1"/>
    <col min="3" max="6" width="28.664062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9" x14ac:dyDescent="0.3">
      <c r="A2">
        <v>1</v>
      </c>
      <c r="B2" s="1">
        <v>45934</v>
      </c>
      <c r="C2">
        <v>18</v>
      </c>
      <c r="D2">
        <v>0</v>
      </c>
      <c r="E2">
        <v>18</v>
      </c>
      <c r="F2">
        <v>0</v>
      </c>
    </row>
    <row r="3" spans="1:19" x14ac:dyDescent="0.3">
      <c r="A3">
        <v>2</v>
      </c>
      <c r="B3" s="1">
        <v>45935</v>
      </c>
      <c r="C3">
        <v>18</v>
      </c>
      <c r="D3">
        <v>1</v>
      </c>
      <c r="E3">
        <f t="shared" ref="E3:E15" si="0">E2-D3</f>
        <v>17</v>
      </c>
      <c r="F3">
        <f>F2+D3</f>
        <v>1</v>
      </c>
    </row>
    <row r="4" spans="1:19" x14ac:dyDescent="0.3">
      <c r="A4">
        <v>3</v>
      </c>
      <c r="B4" s="1">
        <v>45936</v>
      </c>
      <c r="C4">
        <v>17</v>
      </c>
      <c r="D4">
        <v>0</v>
      </c>
      <c r="E4">
        <f t="shared" si="0"/>
        <v>17</v>
      </c>
      <c r="F4">
        <f t="shared" ref="F4:F15" si="1">F3+D4</f>
        <v>1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3">
      <c r="A5">
        <v>4</v>
      </c>
      <c r="B5" s="1">
        <v>45937</v>
      </c>
      <c r="C5">
        <v>16</v>
      </c>
      <c r="D5">
        <v>2</v>
      </c>
      <c r="E5">
        <f t="shared" si="0"/>
        <v>15</v>
      </c>
      <c r="F5">
        <f t="shared" si="1"/>
        <v>3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3">
      <c r="A6">
        <v>5</v>
      </c>
      <c r="B6" s="1">
        <v>45938</v>
      </c>
      <c r="C6">
        <v>15</v>
      </c>
      <c r="D6">
        <v>0</v>
      </c>
      <c r="E6">
        <f t="shared" si="0"/>
        <v>15</v>
      </c>
      <c r="F6">
        <f t="shared" si="1"/>
        <v>3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x14ac:dyDescent="0.3">
      <c r="A7">
        <v>6</v>
      </c>
      <c r="B7" s="1">
        <v>45939</v>
      </c>
      <c r="C7">
        <v>14</v>
      </c>
      <c r="D7">
        <v>2</v>
      </c>
      <c r="E7">
        <f t="shared" si="0"/>
        <v>13</v>
      </c>
      <c r="F7">
        <f t="shared" si="1"/>
        <v>5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x14ac:dyDescent="0.3">
      <c r="A8" s="19">
        <v>7</v>
      </c>
      <c r="B8" s="21">
        <v>45940</v>
      </c>
      <c r="C8" s="19">
        <v>13</v>
      </c>
      <c r="D8" s="19">
        <v>1</v>
      </c>
      <c r="E8" s="19">
        <f t="shared" si="0"/>
        <v>12</v>
      </c>
      <c r="F8">
        <f t="shared" si="1"/>
        <v>6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x14ac:dyDescent="0.3">
      <c r="A9">
        <v>8</v>
      </c>
      <c r="B9" s="1">
        <v>45941</v>
      </c>
      <c r="C9">
        <v>12</v>
      </c>
      <c r="D9">
        <v>2</v>
      </c>
      <c r="E9">
        <f t="shared" si="0"/>
        <v>10</v>
      </c>
      <c r="F9">
        <f t="shared" si="1"/>
        <v>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x14ac:dyDescent="0.3">
      <c r="A10">
        <v>9</v>
      </c>
      <c r="B10" s="1">
        <v>45942</v>
      </c>
      <c r="C10">
        <v>10</v>
      </c>
      <c r="D10">
        <v>1</v>
      </c>
      <c r="E10">
        <f t="shared" si="0"/>
        <v>9</v>
      </c>
      <c r="F10">
        <f t="shared" si="1"/>
        <v>9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x14ac:dyDescent="0.3">
      <c r="A11">
        <v>10</v>
      </c>
      <c r="B11" s="1">
        <v>45943</v>
      </c>
      <c r="C11">
        <v>9</v>
      </c>
      <c r="D11">
        <v>2</v>
      </c>
      <c r="E11">
        <f t="shared" si="0"/>
        <v>7</v>
      </c>
      <c r="F11">
        <f t="shared" si="1"/>
        <v>11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x14ac:dyDescent="0.3">
      <c r="A12">
        <v>11</v>
      </c>
      <c r="B12" s="1">
        <v>45944</v>
      </c>
      <c r="C12">
        <v>7</v>
      </c>
      <c r="D12">
        <v>1</v>
      </c>
      <c r="E12">
        <f t="shared" si="0"/>
        <v>6</v>
      </c>
      <c r="F12">
        <f t="shared" si="1"/>
        <v>12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x14ac:dyDescent="0.3">
      <c r="A13">
        <v>12</v>
      </c>
      <c r="B13" s="1">
        <v>45945</v>
      </c>
      <c r="C13">
        <v>6</v>
      </c>
      <c r="D13">
        <v>1</v>
      </c>
      <c r="E13">
        <f t="shared" si="0"/>
        <v>5</v>
      </c>
      <c r="F13">
        <f t="shared" si="1"/>
        <v>13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x14ac:dyDescent="0.3">
      <c r="A14">
        <v>13</v>
      </c>
      <c r="B14" s="1">
        <v>45946</v>
      </c>
      <c r="C14">
        <v>3</v>
      </c>
      <c r="D14">
        <v>0</v>
      </c>
      <c r="E14">
        <f t="shared" si="0"/>
        <v>5</v>
      </c>
      <c r="F14">
        <f t="shared" si="1"/>
        <v>13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x14ac:dyDescent="0.3">
      <c r="A15">
        <v>14</v>
      </c>
      <c r="B15" s="1">
        <v>45947</v>
      </c>
      <c r="C15">
        <v>0</v>
      </c>
      <c r="D15">
        <v>0</v>
      </c>
      <c r="E15">
        <f t="shared" si="0"/>
        <v>5</v>
      </c>
      <c r="F15">
        <f t="shared" si="1"/>
        <v>13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4:19" x14ac:dyDescent="0.3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4:19" x14ac:dyDescent="0.3">
      <c r="D18">
        <f>SUM(D9:D15)</f>
        <v>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4:19" x14ac:dyDescent="0.3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4:19" x14ac:dyDescent="0.3"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4:19" x14ac:dyDescent="0.3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4:19" x14ac:dyDescent="0.3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4:19" x14ac:dyDescent="0.3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4:19" x14ac:dyDescent="0.3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4:19" x14ac:dyDescent="0.3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4:19" x14ac:dyDescent="0.3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4:19" x14ac:dyDescent="0.3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4:19" x14ac:dyDescent="0.3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32" spans="4:19" x14ac:dyDescent="0.3">
      <c r="I32">
        <f>SUM(D2:D8)</f>
        <v>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workbookViewId="0">
      <selection activeCell="G3" sqref="G3"/>
    </sheetView>
  </sheetViews>
  <sheetFormatPr baseColWidth="10" defaultColWidth="8.88671875" defaultRowHeight="14.4" x14ac:dyDescent="0.3"/>
  <cols>
    <col min="1" max="1" width="6.6640625" customWidth="1"/>
    <col min="2" max="2" width="21.88671875" style="1" customWidth="1"/>
    <col min="3" max="6" width="28.664062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9" x14ac:dyDescent="0.3">
      <c r="A2">
        <v>1</v>
      </c>
      <c r="B2" s="1">
        <v>45948</v>
      </c>
      <c r="C2">
        <v>18</v>
      </c>
      <c r="D2">
        <v>0</v>
      </c>
      <c r="E2">
        <v>18</v>
      </c>
      <c r="F2">
        <v>0</v>
      </c>
    </row>
    <row r="3" spans="1:19" x14ac:dyDescent="0.3">
      <c r="A3">
        <v>2</v>
      </c>
      <c r="B3" s="1">
        <v>45949</v>
      </c>
      <c r="C3">
        <v>18</v>
      </c>
      <c r="D3">
        <v>1</v>
      </c>
      <c r="E3">
        <f t="shared" ref="E3:E8" si="0">E2-D3</f>
        <v>17</v>
      </c>
      <c r="F3">
        <f>D3+F2</f>
        <v>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3">
      <c r="A4">
        <v>3</v>
      </c>
      <c r="B4" s="1">
        <v>45950</v>
      </c>
      <c r="C4">
        <v>17</v>
      </c>
      <c r="D4">
        <v>1</v>
      </c>
      <c r="E4">
        <f t="shared" si="0"/>
        <v>16</v>
      </c>
      <c r="F4">
        <f t="shared" ref="F4:F15" si="1">D4+F3</f>
        <v>2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3">
      <c r="A5">
        <v>4</v>
      </c>
      <c r="B5" s="1">
        <v>45951</v>
      </c>
      <c r="C5">
        <v>15</v>
      </c>
      <c r="D5">
        <v>1</v>
      </c>
      <c r="E5">
        <f t="shared" si="0"/>
        <v>15</v>
      </c>
      <c r="F5">
        <f t="shared" si="1"/>
        <v>3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3">
      <c r="A6">
        <v>5</v>
      </c>
      <c r="B6" s="1">
        <v>45952</v>
      </c>
      <c r="C6">
        <v>15</v>
      </c>
      <c r="D6">
        <v>1</v>
      </c>
      <c r="E6">
        <f t="shared" si="0"/>
        <v>14</v>
      </c>
      <c r="F6">
        <f t="shared" si="1"/>
        <v>4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x14ac:dyDescent="0.3">
      <c r="A7">
        <v>6</v>
      </c>
      <c r="B7" s="1">
        <v>45953</v>
      </c>
      <c r="C7">
        <v>14</v>
      </c>
      <c r="D7">
        <v>4</v>
      </c>
      <c r="E7">
        <f t="shared" si="0"/>
        <v>10</v>
      </c>
      <c r="F7">
        <f t="shared" si="1"/>
        <v>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x14ac:dyDescent="0.3">
      <c r="A8">
        <v>7</v>
      </c>
      <c r="B8" s="1">
        <v>45954</v>
      </c>
      <c r="C8" s="19">
        <v>13</v>
      </c>
      <c r="D8">
        <v>4</v>
      </c>
      <c r="E8">
        <f t="shared" si="0"/>
        <v>6</v>
      </c>
      <c r="F8">
        <f t="shared" si="1"/>
        <v>12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x14ac:dyDescent="0.3">
      <c r="A9">
        <v>8</v>
      </c>
      <c r="B9" s="1">
        <v>45955</v>
      </c>
      <c r="C9">
        <v>12</v>
      </c>
      <c r="D9">
        <v>1</v>
      </c>
      <c r="E9">
        <f t="shared" ref="E9:E15" si="2">E8-D9</f>
        <v>5</v>
      </c>
      <c r="F9">
        <f t="shared" si="1"/>
        <v>13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x14ac:dyDescent="0.3">
      <c r="A10">
        <v>9</v>
      </c>
      <c r="B10" s="1">
        <v>45956</v>
      </c>
      <c r="C10">
        <v>10</v>
      </c>
      <c r="D10">
        <v>1</v>
      </c>
      <c r="E10">
        <f t="shared" si="2"/>
        <v>4</v>
      </c>
      <c r="F10">
        <f t="shared" si="1"/>
        <v>14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x14ac:dyDescent="0.3">
      <c r="A11">
        <v>10</v>
      </c>
      <c r="B11" s="1">
        <v>45957</v>
      </c>
      <c r="C11">
        <v>9</v>
      </c>
      <c r="D11">
        <v>1</v>
      </c>
      <c r="E11">
        <f t="shared" si="2"/>
        <v>3</v>
      </c>
      <c r="F11">
        <f t="shared" si="1"/>
        <v>15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x14ac:dyDescent="0.3">
      <c r="A12">
        <v>11</v>
      </c>
      <c r="B12" s="1">
        <v>45958</v>
      </c>
      <c r="C12">
        <v>7</v>
      </c>
      <c r="D12">
        <v>1</v>
      </c>
      <c r="E12">
        <f t="shared" si="2"/>
        <v>2</v>
      </c>
      <c r="F12">
        <f t="shared" si="1"/>
        <v>16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x14ac:dyDescent="0.3">
      <c r="A13">
        <v>12</v>
      </c>
      <c r="B13" s="1">
        <v>45959</v>
      </c>
      <c r="C13">
        <v>6</v>
      </c>
      <c r="D13">
        <v>1</v>
      </c>
      <c r="E13">
        <f t="shared" si="2"/>
        <v>1</v>
      </c>
      <c r="F13">
        <f t="shared" si="1"/>
        <v>17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x14ac:dyDescent="0.3">
      <c r="A14">
        <v>13</v>
      </c>
      <c r="B14" s="1">
        <v>45960</v>
      </c>
      <c r="C14">
        <v>3</v>
      </c>
      <c r="D14">
        <v>1</v>
      </c>
      <c r="E14">
        <f t="shared" si="2"/>
        <v>0</v>
      </c>
      <c r="F14">
        <f t="shared" si="1"/>
        <v>18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x14ac:dyDescent="0.3">
      <c r="A15">
        <v>14</v>
      </c>
      <c r="B15" s="1">
        <v>45961</v>
      </c>
      <c r="C15">
        <v>0</v>
      </c>
      <c r="D15">
        <v>0</v>
      </c>
      <c r="E15">
        <f t="shared" si="2"/>
        <v>0</v>
      </c>
      <c r="F15">
        <f t="shared" si="1"/>
        <v>18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7:19" x14ac:dyDescent="0.3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7:19" x14ac:dyDescent="0.3"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7:19" x14ac:dyDescent="0.3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7:19" x14ac:dyDescent="0.3"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7:19" x14ac:dyDescent="0.3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7:19" x14ac:dyDescent="0.3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7:19" x14ac:dyDescent="0.3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7:19" x14ac:dyDescent="0.3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7:19" x14ac:dyDescent="0.3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7:19" x14ac:dyDescent="0.3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7:19" x14ac:dyDescent="0.3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8"/>
  <sheetViews>
    <sheetView topLeftCell="A4" zoomScale="101" workbookViewId="0">
      <selection activeCell="F26" sqref="F26"/>
    </sheetView>
  </sheetViews>
  <sheetFormatPr baseColWidth="10" defaultColWidth="8.88671875" defaultRowHeight="14.4" x14ac:dyDescent="0.3"/>
  <cols>
    <col min="1" max="1" width="6.6640625" customWidth="1"/>
    <col min="2" max="2" width="18.21875" style="1" customWidth="1"/>
    <col min="3" max="6" width="28.6640625" customWidth="1"/>
  </cols>
  <sheetData>
    <row r="1" spans="1:19" x14ac:dyDescent="0.3">
      <c r="A1" s="2" t="s">
        <v>0</v>
      </c>
      <c r="B1" s="2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9" x14ac:dyDescent="0.3">
      <c r="A2">
        <v>1</v>
      </c>
      <c r="B2" s="1">
        <v>45962</v>
      </c>
      <c r="C2">
        <v>13</v>
      </c>
      <c r="D2">
        <v>0</v>
      </c>
      <c r="E2">
        <v>13</v>
      </c>
      <c r="F2">
        <v>0</v>
      </c>
    </row>
    <row r="3" spans="1:19" x14ac:dyDescent="0.3">
      <c r="A3">
        <v>2</v>
      </c>
      <c r="B3" s="1">
        <v>45963</v>
      </c>
      <c r="C3">
        <v>12</v>
      </c>
      <c r="D3">
        <v>2</v>
      </c>
      <c r="E3">
        <f>E2-D3</f>
        <v>11</v>
      </c>
      <c r="F3">
        <f>F2+D3</f>
        <v>2</v>
      </c>
    </row>
    <row r="4" spans="1:19" x14ac:dyDescent="0.3">
      <c r="A4">
        <v>3</v>
      </c>
      <c r="B4" s="1">
        <v>45964</v>
      </c>
      <c r="C4">
        <v>11</v>
      </c>
      <c r="D4">
        <v>1</v>
      </c>
      <c r="E4">
        <f t="shared" ref="E4:E15" si="0">E3-D4</f>
        <v>10</v>
      </c>
      <c r="F4">
        <f t="shared" ref="F4:F15" si="1">F3+D4</f>
        <v>3</v>
      </c>
    </row>
    <row r="5" spans="1:19" x14ac:dyDescent="0.3">
      <c r="A5">
        <v>4</v>
      </c>
      <c r="B5" s="1">
        <v>45965</v>
      </c>
      <c r="C5">
        <v>11</v>
      </c>
      <c r="D5">
        <v>1</v>
      </c>
      <c r="E5">
        <f t="shared" si="0"/>
        <v>9</v>
      </c>
      <c r="F5">
        <f t="shared" si="1"/>
        <v>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3">
      <c r="A6">
        <v>5</v>
      </c>
      <c r="B6" s="1">
        <v>45966</v>
      </c>
      <c r="C6">
        <v>10</v>
      </c>
      <c r="D6">
        <v>2</v>
      </c>
      <c r="E6">
        <f t="shared" si="0"/>
        <v>7</v>
      </c>
      <c r="F6">
        <f t="shared" si="1"/>
        <v>6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x14ac:dyDescent="0.3">
      <c r="A7">
        <v>6</v>
      </c>
      <c r="B7" s="1">
        <v>45967</v>
      </c>
      <c r="C7">
        <v>9</v>
      </c>
      <c r="D7">
        <v>0</v>
      </c>
      <c r="E7">
        <f t="shared" si="0"/>
        <v>7</v>
      </c>
      <c r="F7">
        <f t="shared" si="1"/>
        <v>6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x14ac:dyDescent="0.3">
      <c r="A8">
        <v>7</v>
      </c>
      <c r="B8" s="1">
        <v>45968</v>
      </c>
      <c r="C8">
        <v>7</v>
      </c>
      <c r="D8">
        <v>1</v>
      </c>
      <c r="E8">
        <f t="shared" si="0"/>
        <v>6</v>
      </c>
      <c r="F8">
        <f t="shared" si="1"/>
        <v>7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x14ac:dyDescent="0.3">
      <c r="A9">
        <v>8</v>
      </c>
      <c r="B9" s="1">
        <v>45969</v>
      </c>
      <c r="C9">
        <v>6</v>
      </c>
      <c r="D9">
        <v>0</v>
      </c>
      <c r="E9">
        <f t="shared" si="0"/>
        <v>6</v>
      </c>
      <c r="F9">
        <f t="shared" si="1"/>
        <v>7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x14ac:dyDescent="0.3">
      <c r="A10">
        <v>9</v>
      </c>
      <c r="B10" s="1">
        <v>45970</v>
      </c>
      <c r="C10">
        <v>5</v>
      </c>
      <c r="D10">
        <v>1</v>
      </c>
      <c r="E10">
        <f t="shared" si="0"/>
        <v>5</v>
      </c>
      <c r="F10">
        <f t="shared" si="1"/>
        <v>8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x14ac:dyDescent="0.3">
      <c r="A11">
        <v>10</v>
      </c>
      <c r="B11" s="1">
        <v>45971</v>
      </c>
      <c r="C11">
        <v>4</v>
      </c>
      <c r="D11">
        <v>0</v>
      </c>
      <c r="E11">
        <f t="shared" si="0"/>
        <v>5</v>
      </c>
      <c r="F11">
        <f t="shared" si="1"/>
        <v>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x14ac:dyDescent="0.3">
      <c r="A12">
        <v>11</v>
      </c>
      <c r="B12" s="1">
        <v>45972</v>
      </c>
      <c r="C12">
        <v>3</v>
      </c>
      <c r="D12">
        <v>2</v>
      </c>
      <c r="E12">
        <f t="shared" si="0"/>
        <v>3</v>
      </c>
      <c r="F12">
        <f t="shared" si="1"/>
        <v>10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x14ac:dyDescent="0.3">
      <c r="A13">
        <v>12</v>
      </c>
      <c r="B13" s="1">
        <v>45973</v>
      </c>
      <c r="C13">
        <v>2</v>
      </c>
      <c r="D13">
        <v>1</v>
      </c>
      <c r="E13">
        <f t="shared" si="0"/>
        <v>2</v>
      </c>
      <c r="F13">
        <f t="shared" si="1"/>
        <v>11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x14ac:dyDescent="0.3">
      <c r="A14">
        <v>13</v>
      </c>
      <c r="B14" s="1">
        <v>45974</v>
      </c>
      <c r="C14">
        <v>1</v>
      </c>
      <c r="D14">
        <v>1</v>
      </c>
      <c r="E14">
        <f t="shared" si="0"/>
        <v>1</v>
      </c>
      <c r="F14">
        <f t="shared" si="1"/>
        <v>12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x14ac:dyDescent="0.3">
      <c r="A15">
        <v>14</v>
      </c>
      <c r="B15" s="1">
        <v>45975</v>
      </c>
      <c r="C15">
        <v>0</v>
      </c>
      <c r="D15">
        <v>1</v>
      </c>
      <c r="E15">
        <f t="shared" si="0"/>
        <v>0</v>
      </c>
      <c r="F15">
        <f t="shared" si="1"/>
        <v>13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7:19" x14ac:dyDescent="0.3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7:19" x14ac:dyDescent="0.3"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7:19" x14ac:dyDescent="0.3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7:19" x14ac:dyDescent="0.3"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7:19" x14ac:dyDescent="0.3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7:19" x14ac:dyDescent="0.3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7:19" x14ac:dyDescent="0.3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7:19" x14ac:dyDescent="0.3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7:19" x14ac:dyDescent="0.3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7:19" x14ac:dyDescent="0.3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7:19" x14ac:dyDescent="0.3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7:19" x14ac:dyDescent="0.3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Sprint 1 – Inicio &amp; planificaci</vt:lpstr>
      <vt:lpstr>Sprint 2 – Autenticación + Fich</vt:lpstr>
      <vt:lpstr>Sprint 3 – Despensa</vt:lpstr>
      <vt:lpstr>Sprint 4 – IA Nutricional</vt:lpstr>
      <vt:lpstr>Sprint 5 – Metricas</vt:lpstr>
      <vt:lpstr>Sprint 6 – Reporte y cierre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</dc:creator>
  <cp:lastModifiedBy>GONZALO ESTEBAN TRONCOSO CORTES</cp:lastModifiedBy>
  <dcterms:created xsi:type="dcterms:W3CDTF">2025-09-02T17:21:16Z</dcterms:created>
  <dcterms:modified xsi:type="dcterms:W3CDTF">2025-11-21T03:18:18Z</dcterms:modified>
</cp:coreProperties>
</file>